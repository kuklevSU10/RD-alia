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Оглавление" sheetId="1" state="visible" r:id="rId1"/>
    <sheet xmlns:r="http://schemas.openxmlformats.org/officeDocument/2006/relationships" name="Корпус 3 кладка НЧ" sheetId="2" state="visible" r:id="rId2"/>
    <sheet xmlns:r="http://schemas.openxmlformats.org/officeDocument/2006/relationships" name="Корпус 4 кладка НЧ" sheetId="3" state="visible" r:id="rId3"/>
    <sheet xmlns:r="http://schemas.openxmlformats.org/officeDocument/2006/relationships" name="Корпус 5 кладка НЧ" sheetId="4" state="visible" r:id="rId4"/>
    <sheet xmlns:r="http://schemas.openxmlformats.org/officeDocument/2006/relationships" name="Корпус 6 кладка НЧ" sheetId="5" state="visible" r:id="rId5"/>
    <sheet xmlns:r="http://schemas.openxmlformats.org/officeDocument/2006/relationships" name="Корпус 6 кладка НЧ (Куклев)" sheetId="6" state="hidden" r:id="rId6"/>
    <sheet xmlns:r="http://schemas.openxmlformats.org/officeDocument/2006/relationships" name="Кладка пристройки К3-К4" sheetId="7" state="visible" r:id="rId7"/>
    <sheet xmlns:r="http://schemas.openxmlformats.org/officeDocument/2006/relationships" name="Кладка пристройки К4-К5" sheetId="8" state="visible" r:id="rId8"/>
    <sheet xmlns:r="http://schemas.openxmlformats.org/officeDocument/2006/relationships" name="Кладка пристройки К5-К6" sheetId="9" state="visible" r:id="rId9"/>
    <sheet xmlns:r="http://schemas.openxmlformats.org/officeDocument/2006/relationships" name="Кладка ПЧ во П24-П48" sheetId="10" state="visible" r:id="rId10"/>
    <sheet xmlns:r="http://schemas.openxmlformats.org/officeDocument/2006/relationships" name="К4-5 лента вибродемпф." sheetId="11" state="visible" r:id="rId11"/>
  </sheets>
  <definedNames>
    <definedName name="_xlnm._FilterDatabase" localSheetId="0" hidden="1">'Оглавление'!$A$1:$S$80</definedName>
    <definedName name="_xlnm._FilterDatabase" localSheetId="5" hidden="1">'Корпус 6 кладка НЧ (Куклев)'!$A$3:$AL$9</definedName>
    <definedName name="_xlnm._FilterDatabase" localSheetId="9" hidden="1">'Кладка ПЧ во П24-П48'!$A$3:$X$207</definedName>
    <definedName name="_xlnm._FilterDatabase" localSheetId="10" hidden="1">'К4-5 лента вибродемпф.'!$A$3:$AN$73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dd.mm.yy"/>
    <numFmt numFmtId="165" formatCode="dd.mm.yyyy"/>
    <numFmt numFmtId="166" formatCode="mm.yyyy"/>
    <numFmt numFmtId="167" formatCode="d.m"/>
    <numFmt numFmtId="168" formatCode="#,##0.000"/>
    <numFmt numFmtId="169" formatCode="0.000"/>
    <numFmt numFmtId="170" formatCode="0.0000"/>
    <numFmt numFmtId="171" formatCode="0.0"/>
    <numFmt numFmtId="172" formatCode="0.00000"/>
    <numFmt numFmtId="173" formatCode="0.0000000"/>
    <numFmt numFmtId="174" formatCode="0.000000"/>
    <numFmt numFmtId="175" formatCode="#,##0.0"/>
  </numFmts>
  <fonts count="94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  <sz val="11"/>
    </font>
    <font/>
    <font>
      <name val="Arial"/>
      <color theme="1"/>
      <scheme val="minor"/>
    </font>
    <font>
      <name val="Times New Roman"/>
      <b val="1"/>
      <color theme="1"/>
      <sz val="12"/>
    </font>
    <font>
      <name val="Times New Roman"/>
      <b val="1"/>
      <color theme="1"/>
    </font>
    <font>
      <name val="Times New Roman"/>
      <color theme="1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Arial"/>
      <color rgb="FF0000FF"/>
      <u val="single"/>
    </font>
    <font>
      <name val="Times New Roman"/>
      <color rgb="FF0000FF"/>
      <u val="single"/>
    </font>
    <font>
      <name val="Arial"/>
      <color theme="1"/>
      <u val="single"/>
      <scheme val="minor"/>
    </font>
    <font>
      <name val="Arial"/>
      <color theme="1"/>
      <u val="single"/>
      <scheme val="minor"/>
    </font>
    <font>
      <color rgb="FF0000FF"/>
      <u val="single"/>
    </font>
    <font>
      <name val="Times New Roman"/>
      <color rgb="FF1155CC"/>
      <u val="single"/>
    </font>
    <font>
      <name val="Arial"/>
      <color theme="1"/>
      <u val="single"/>
      <scheme val="minor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theme="1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b val="1"/>
      <color rgb="FFFFFFFF"/>
    </font>
    <font>
      <name val="Arial"/>
      <b val="1"/>
      <color rgb="FF212121"/>
    </font>
    <font>
      <name val="Arial"/>
      <b val="1"/>
      <color rgb="FF212121"/>
      <scheme val="minor"/>
    </font>
    <font>
      <name val="Arial"/>
      <b val="1"/>
      <color theme="1"/>
    </font>
    <font>
      <name val="Times New Roman"/>
      <b val="1"/>
      <color theme="1"/>
      <sz val="9"/>
    </font>
    <font>
      <name val="Times New Roman"/>
      <color theme="1"/>
      <sz val="9"/>
    </font>
    <font>
      <name val="Times New Roman"/>
      <i val="1"/>
      <color theme="1"/>
      <sz val="9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0"/>
    </font>
    <font>
      <name val="Times New Roman"/>
      <i val="1"/>
      <color theme="1"/>
      <sz val="10"/>
    </font>
    <font>
      <name val="Times New Roman"/>
      <color rgb="FF000000"/>
      <sz val="10"/>
    </font>
    <font>
      <name val="Times New Roman"/>
      <color rgb="FFFF0000"/>
      <sz val="10"/>
    </font>
    <font>
      <name val="Times New Roman"/>
      <i val="1"/>
      <color theme="1"/>
    </font>
    <font>
      <name val="Times New Roman"/>
      <color rgb="FF000000"/>
    </font>
    <font>
      <name val="Calibri"/>
      <b val="1"/>
      <color theme="1"/>
      <sz val="11"/>
    </font>
    <font>
      <name val="Arial"/>
      <i val="1"/>
      <color theme="1"/>
    </font>
    <font>
      <name val="Times New Roman"/>
      <i val="1"/>
      <color theme="1"/>
      <sz val="11"/>
    </font>
    <font>
      <name val="Arial"/>
      <color theme="1"/>
      <sz val="10"/>
      <scheme val="minor"/>
    </font>
    <font>
      <name val="Times New Roman"/>
      <i val="1"/>
      <color theme="1"/>
      <sz val="12"/>
    </font>
    <font>
      <name val="Arial"/>
      <color theme="1"/>
      <sz val="12"/>
      <scheme val="minor"/>
    </font>
    <font>
      <name val="Arial"/>
      <color theme="1"/>
      <sz val="11"/>
      <scheme val="minor"/>
    </font>
    <font>
      <name val="Calibri"/>
      <color rgb="FF000000"/>
      <sz val="11"/>
    </font>
    <font>
      <name val="Arial"/>
      <strike val="1"/>
      <color theme="1"/>
      <scheme val="minor"/>
    </font>
    <font>
      <name val="&quot;Gotham Pro&quot;"/>
      <color rgb="FF141416"/>
      <sz val="11"/>
    </font>
    <font>
      <name val="Arial"/>
      <b val="1"/>
      <color theme="1"/>
      <sz val="10"/>
      <scheme val="minor"/>
    </font>
    <font>
      <name val="Arial"/>
      <b val="1"/>
      <color theme="1"/>
      <scheme val="minor"/>
    </font>
    <font>
      <name val="Arial"/>
      <b val="1"/>
      <i val="1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7"/>
    </font>
    <font>
      <name val="Arial"/>
      <color theme="1"/>
      <sz val="11"/>
    </font>
    <font>
      <name val="Times New Roman"/>
      <b val="1"/>
      <i val="1"/>
      <color theme="1"/>
    </font>
    <font>
      <name val="Times New Roman"/>
      <b val="1"/>
      <i val="1"/>
      <color theme="1"/>
      <sz val="12"/>
    </font>
    <font>
      <name val="Times New Roman"/>
      <b val="1"/>
      <i val="1"/>
      <color theme="1"/>
      <sz val="11"/>
    </font>
    <font>
      <name val="Calibri"/>
      <b val="1"/>
      <color theme="1"/>
      <sz val="14"/>
    </font>
    <font>
      <name val="Arial"/>
      <b val="1"/>
      <color theme="1"/>
      <sz val="14"/>
    </font>
    <font>
      <name val="Calibri"/>
      <color theme="1"/>
      <sz val="14"/>
    </font>
    <font>
      <name val="Arial"/>
      <color theme="1"/>
      <sz val="14"/>
    </font>
    <font>
      <name val="Times New Roman"/>
      <color theme="1"/>
      <sz val="12"/>
    </font>
    <font>
      <name val="Arial"/>
      <color theme="1"/>
      <sz val="12"/>
    </font>
    <font>
      <name val="Times New Roman"/>
      <color theme="1"/>
      <sz val="13"/>
    </font>
    <font>
      <name val="Arial"/>
      <color theme="1"/>
      <sz val="13"/>
    </font>
    <font>
      <name val="Times New Roman"/>
      <b val="1"/>
      <color theme="1"/>
      <sz val="14"/>
    </font>
    <font>
      <name val="Times New Roman"/>
      <b val="1"/>
      <i val="1"/>
      <color theme="1"/>
      <sz val="14"/>
    </font>
    <font>
      <name val="Times New Roman"/>
      <color theme="1"/>
      <sz val="14"/>
    </font>
  </fonts>
  <fills count="4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424242"/>
        <bgColor rgb="FF424242"/>
      </patternFill>
    </fill>
    <fill>
      <patternFill patternType="solid">
        <fgColor rgb="FF9E9E9E"/>
        <bgColor rgb="FF9E9E9E"/>
      </patternFill>
    </fill>
    <fill>
      <patternFill patternType="solid">
        <fgColor rgb="FFEEEEEE"/>
        <bgColor rgb="FFEEEEEE"/>
      </patternFill>
    </fill>
    <fill>
      <patternFill patternType="solid">
        <fgColor rgb="FFE0E0E0"/>
        <bgColor rgb="FFE0E0E0"/>
      </patternFill>
    </fill>
    <fill>
      <patternFill patternType="solid">
        <fgColor rgb="FFF5F5F5"/>
        <bgColor rgb="FFF5F5F5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rgb="FFDDFFD1"/>
        <bgColor rgb="FFDDFFD1"/>
      </patternFill>
    </fill>
    <fill>
      <patternFill patternType="solid">
        <fgColor theme="7"/>
        <bgColor theme="7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F8F8FC"/>
        <bgColor rgb="FFF8F8FC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06666"/>
        <bgColor rgb="FFE06666"/>
      </patternFill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C27BA0"/>
        <bgColor rgb="FFC27BA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757575"/>
      </left>
      <right style="thin">
        <color rgb="FF757575"/>
      </right>
      <top style="thin">
        <color rgb="FF757575"/>
      </top>
      <bottom style="thin">
        <color rgb="FF757575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2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3" fillId="0" borderId="4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bottom" wrapText="1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vertical="center" wrapText="1"/>
    </xf>
    <xf numFmtId="0" fontId="7" fillId="7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0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14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7" fillId="3" borderId="1" applyAlignment="1" pivotButton="0" quotePrefix="0" xfId="0">
      <alignment vertical="center"/>
    </xf>
    <xf numFmtId="0" fontId="18" fillId="0" borderId="1" applyAlignment="1" pivotButton="0" quotePrefix="0" xfId="0">
      <alignment vertical="center" wrapText="1"/>
    </xf>
    <xf numFmtId="0" fontId="19" fillId="2" borderId="1" applyAlignment="1" pivotButton="0" quotePrefix="0" xfId="0">
      <alignment vertical="center"/>
    </xf>
    <xf numFmtId="0" fontId="20" fillId="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/>
    </xf>
    <xf numFmtId="164" fontId="23" fillId="3" borderId="1" applyAlignment="1" pivotButton="0" quotePrefix="0" xfId="0">
      <alignment horizontal="center" vertical="center"/>
    </xf>
    <xf numFmtId="164" fontId="24" fillId="3" borderId="0" applyAlignment="1" pivotButton="0" quotePrefix="0" xfId="0">
      <alignment horizontal="center" vertical="center"/>
    </xf>
    <xf numFmtId="164" fontId="2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7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7" fillId="2" borderId="5" applyAlignment="1" pivotButton="0" quotePrefix="0" xfId="0">
      <alignment vertical="center" wrapText="1"/>
    </xf>
    <xf numFmtId="0" fontId="27" fillId="0" borderId="1" applyAlignment="1" pivotButton="0" quotePrefix="0" xfId="0">
      <alignment vertical="center"/>
    </xf>
    <xf numFmtId="0" fontId="3" fillId="0" borderId="6" pivotButton="0" quotePrefix="0" xfId="0"/>
    <xf numFmtId="0" fontId="28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vertical="center"/>
    </xf>
    <xf numFmtId="0" fontId="29" fillId="0" borderId="0" pivotButton="0" quotePrefix="0" xfId="0"/>
    <xf numFmtId="0" fontId="30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vertical="center"/>
    </xf>
    <xf numFmtId="164" fontId="32" fillId="3" borderId="0" applyAlignment="1" pivotButton="0" quotePrefix="0" xfId="0">
      <alignment horizontal="center" vertical="center"/>
    </xf>
    <xf numFmtId="0" fontId="33" fillId="0" borderId="1" applyAlignment="1" pivotButton="0" quotePrefix="0" xfId="0">
      <alignment vertical="center"/>
    </xf>
    <xf numFmtId="165" fontId="34" fillId="3" borderId="1" applyAlignment="1" pivotButton="0" quotePrefix="0" xfId="0">
      <alignment horizontal="center" vertical="center"/>
    </xf>
    <xf numFmtId="0" fontId="35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 wrapText="1"/>
    </xf>
    <xf numFmtId="164" fontId="1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37" fillId="5" borderId="1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38" fillId="2" borderId="1" applyAlignment="1" pivotButton="0" quotePrefix="0" xfId="0">
      <alignment horizontal="center" vertical="center"/>
    </xf>
    <xf numFmtId="0" fontId="3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164" fontId="40" fillId="3" borderId="0" applyAlignment="1" pivotButton="0" quotePrefix="0" xfId="0">
      <alignment horizontal="center"/>
    </xf>
    <xf numFmtId="0" fontId="41" fillId="2" borderId="1" applyAlignment="1" pivotButton="0" quotePrefix="0" xfId="0">
      <alignment horizontal="center" vertical="center"/>
    </xf>
    <xf numFmtId="0" fontId="42" fillId="4" borderId="1" applyAlignment="1" pivotButton="0" quotePrefix="0" xfId="0">
      <alignment vertical="center"/>
    </xf>
    <xf numFmtId="0" fontId="43" fillId="3" borderId="1" applyAlignment="1" pivotButton="0" quotePrefix="0" xfId="0">
      <alignment horizontal="left" vertical="center"/>
    </xf>
    <xf numFmtId="0" fontId="44" fillId="0" borderId="1" applyAlignment="1" pivotButton="0" quotePrefix="0" xfId="0">
      <alignment vertical="center" wrapText="1"/>
    </xf>
    <xf numFmtId="0" fontId="45" fillId="2" borderId="1" applyAlignment="1" pivotButton="0" quotePrefix="0" xfId="0">
      <alignment horizontal="left" vertical="center"/>
    </xf>
    <xf numFmtId="166" fontId="46" fillId="2" borderId="1" applyAlignment="1" pivotButton="0" quotePrefix="0" xfId="0">
      <alignment horizontal="left" vertical="center"/>
    </xf>
    <xf numFmtId="165" fontId="47" fillId="2" borderId="1" applyAlignment="1" pivotButton="0" quotePrefix="0" xfId="0">
      <alignment horizontal="left" vertical="center"/>
    </xf>
    <xf numFmtId="0" fontId="48" fillId="9" borderId="7" applyAlignment="1" pivotButton="0" quotePrefix="0" xfId="0">
      <alignment horizontal="center" vertical="center"/>
    </xf>
    <xf numFmtId="0" fontId="48" fillId="9" borderId="7" applyAlignment="1" pivotButton="0" quotePrefix="0" xfId="0">
      <alignment horizontal="center" vertical="center"/>
    </xf>
    <xf numFmtId="0" fontId="49" fillId="10" borderId="7" pivotButton="0" quotePrefix="0" xfId="0"/>
    <xf numFmtId="167" fontId="49" fillId="10" borderId="7" pivotButton="0" quotePrefix="0" xfId="0"/>
    <xf numFmtId="168" fontId="49" fillId="10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0" borderId="7" applyAlignment="1" pivotButton="0" quotePrefix="0" xfId="0">
      <alignment horizontal="right"/>
    </xf>
    <xf numFmtId="0" fontId="50" fillId="10" borderId="7" pivotButton="0" quotePrefix="0" xfId="0"/>
    <xf numFmtId="0" fontId="51" fillId="12" borderId="7" pivotButton="0" quotePrefix="0" xfId="0"/>
    <xf numFmtId="167" fontId="51" fillId="12" borderId="7" pivotButton="0" quotePrefix="0" xfId="0"/>
    <xf numFmtId="168" fontId="51" fillId="12" borderId="7" applyAlignment="1" pivotButton="0" quotePrefix="0" xfId="0">
      <alignment horizontal="right"/>
    </xf>
    <xf numFmtId="168" fontId="51" fillId="11" borderId="7" applyAlignment="1" pivotButton="0" quotePrefix="0" xfId="0">
      <alignment horizontal="center"/>
    </xf>
    <xf numFmtId="168" fontId="4" fillId="12" borderId="7" applyAlignment="1" pivotButton="0" quotePrefix="0" xfId="0">
      <alignment horizontal="right"/>
    </xf>
    <xf numFmtId="0" fontId="4" fillId="12" borderId="7" pivotButton="0" quotePrefix="0" xfId="0"/>
    <xf numFmtId="0" fontId="51" fillId="13" borderId="7" pivotButton="0" quotePrefix="0" xfId="0"/>
    <xf numFmtId="167" fontId="51" fillId="13" borderId="7" pivotButton="0" quotePrefix="0" xfId="0"/>
    <xf numFmtId="168" fontId="51" fillId="13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0" fontId="4" fillId="13" borderId="7" pivotButton="0" quotePrefix="0" xfId="0"/>
    <xf numFmtId="0" fontId="51" fillId="2" borderId="7" pivotButton="0" quotePrefix="0" xfId="0"/>
    <xf numFmtId="167" fontId="51" fillId="2" borderId="7" pivotButton="0" quotePrefix="0" xfId="0"/>
    <xf numFmtId="168" fontId="51" fillId="2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0" fontId="4" fillId="2" borderId="7" pivotButton="0" quotePrefix="0" xfId="0"/>
    <xf numFmtId="168" fontId="50" fillId="10" borderId="7" applyAlignment="1" pivotButton="0" quotePrefix="0" xfId="0">
      <alignment horizontal="right"/>
    </xf>
    <xf numFmtId="168" fontId="4" fillId="12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49" fontId="52" fillId="2" borderId="1" applyAlignment="1" pivotButton="0" quotePrefix="0" xfId="0">
      <alignment horizontal="center" vertical="center" wrapText="1"/>
    </xf>
    <xf numFmtId="0" fontId="52" fillId="2" borderId="1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center" vertical="center" wrapText="1"/>
    </xf>
    <xf numFmtId="0" fontId="52" fillId="14" borderId="2" applyAlignment="1" pivotButton="0" quotePrefix="0" xfId="0">
      <alignment horizontal="left" vertical="center"/>
    </xf>
    <xf numFmtId="0" fontId="53" fillId="14" borderId="4" applyAlignment="1" pivotButton="0" quotePrefix="0" xfId="0">
      <alignment horizontal="center" vertical="center" wrapText="1"/>
    </xf>
    <xf numFmtId="0" fontId="53" fillId="14" borderId="4" applyAlignment="1" pivotButton="0" quotePrefix="0" xfId="0">
      <alignment horizontal="left" vertical="center" wrapText="1"/>
    </xf>
    <xf numFmtId="0" fontId="53" fillId="14" borderId="3" applyAlignment="1" pivotButton="0" quotePrefix="0" xfId="0">
      <alignment horizontal="center" vertical="center" wrapText="1"/>
    </xf>
    <xf numFmtId="0" fontId="53" fillId="14" borderId="1" applyAlignment="1" pivotButton="0" quotePrefix="0" xfId="0">
      <alignment horizontal="center" vertical="center" wrapText="1"/>
    </xf>
    <xf numFmtId="0" fontId="54" fillId="15" borderId="2" applyAlignment="1" pivotButton="0" quotePrefix="0" xfId="0">
      <alignment horizontal="left" vertical="center"/>
    </xf>
    <xf numFmtId="0" fontId="53" fillId="15" borderId="1" applyAlignment="1" pivotButton="0" quotePrefix="0" xfId="0">
      <alignment horizontal="center" vertical="center" wrapText="1"/>
    </xf>
    <xf numFmtId="0" fontId="53" fillId="15" borderId="1" applyAlignment="1" pivotButton="0" quotePrefix="0" xfId="0">
      <alignment horizontal="left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left" vertical="center" wrapText="1"/>
    </xf>
    <xf numFmtId="2" fontId="53" fillId="16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2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left" vertical="center" wrapText="1"/>
    </xf>
    <xf numFmtId="2" fontId="53" fillId="1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4" fillId="15" borderId="2" applyAlignment="1" pivotButton="0" quotePrefix="0" xfId="0">
      <alignment horizontal="left" vertical="center"/>
    </xf>
    <xf numFmtId="0" fontId="53" fillId="0" borderId="0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left" vertical="center" wrapText="1"/>
    </xf>
    <xf numFmtId="49" fontId="55" fillId="18" borderId="1" applyAlignment="1" pivotButton="0" quotePrefix="0" xfId="0">
      <alignment horizontal="center" vertical="center" wrapText="1"/>
    </xf>
    <xf numFmtId="0" fontId="55" fillId="18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167" fontId="2" fillId="19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4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2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4" fontId="57" fillId="21" borderId="1" applyAlignment="1" pivotButton="0" quotePrefix="0" xfId="0">
      <alignment horizontal="center" vertical="center" wrapText="1"/>
    </xf>
    <xf numFmtId="49" fontId="57" fillId="21" borderId="1" applyAlignment="1" pivotButton="0" quotePrefix="0" xfId="0">
      <alignment horizontal="center" vertical="center" wrapText="1"/>
    </xf>
    <xf numFmtId="4" fontId="58" fillId="21" borderId="1" applyAlignment="1" pivotButton="0" quotePrefix="0" xfId="0">
      <alignment horizontal="center" vertical="center" wrapText="1"/>
    </xf>
    <xf numFmtId="2" fontId="58" fillId="21" borderId="1" applyAlignment="1" pivotButton="0" quotePrefix="0" xfId="0">
      <alignment horizontal="center" vertical="center" wrapText="1"/>
    </xf>
    <xf numFmtId="0" fontId="57" fillId="22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2" fontId="57" fillId="0" borderId="0" applyAlignment="1" pivotButton="0" quotePrefix="0" xfId="0">
      <alignment horizontal="center" vertical="center" wrapText="1"/>
    </xf>
    <xf numFmtId="0" fontId="59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2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2" fontId="59" fillId="0" borderId="0" applyAlignment="1" pivotButton="0" quotePrefix="0" xfId="0">
      <alignment horizontal="center" vertical="center" wrapText="1"/>
    </xf>
    <xf numFmtId="2" fontId="60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2" fontId="57" fillId="23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49" fontId="7" fillId="24" borderId="3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4" fontId="7" fillId="24" borderId="1" applyAlignment="1" pivotButton="0" quotePrefix="0" xfId="0">
      <alignment horizontal="center" vertical="center" wrapText="1"/>
    </xf>
    <xf numFmtId="0" fontId="57" fillId="5" borderId="0" applyAlignment="1" pivotButton="0" quotePrefix="0" xfId="0">
      <alignment vertical="center"/>
    </xf>
    <xf numFmtId="0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0" fontId="57" fillId="0" borderId="0" pivotButton="0" quotePrefix="0" xfId="0"/>
    <xf numFmtId="2" fontId="58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2" fontId="2" fillId="23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 wrapText="1"/>
    </xf>
    <xf numFmtId="49" fontId="57" fillId="24" borderId="3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4" fontId="57" fillId="24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49" fontId="1" fillId="19" borderId="1" pivotButton="0" quotePrefix="0" xfId="0"/>
    <xf numFmtId="0" fontId="1" fillId="19" borderId="1" pivotButton="0" quotePrefix="0" xfId="0"/>
    <xf numFmtId="0" fontId="1" fillId="19" borderId="1" pivotButton="0" quotePrefix="0" xfId="0"/>
    <xf numFmtId="167" fontId="1" fillId="19" borderId="1" pivotButton="0" quotePrefix="0" xfId="0"/>
    <xf numFmtId="0" fontId="1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7" pivotButton="0" quotePrefix="0" xfId="0"/>
    <xf numFmtId="168" fontId="4" fillId="10" borderId="7" applyAlignment="1" pivotButton="0" quotePrefix="0" xfId="0">
      <alignment horizontal="right"/>
    </xf>
    <xf numFmtId="0" fontId="50" fillId="10" borderId="7" pivotButton="0" quotePrefix="0" xfId="0"/>
    <xf numFmtId="0" fontId="4" fillId="12" borderId="7" pivotButton="0" quotePrefix="0" xfId="0"/>
    <xf numFmtId="0" fontId="50" fillId="10" borderId="7" pivotButton="0" quotePrefix="0" xfId="0"/>
    <xf numFmtId="168" fontId="50" fillId="11" borderId="7" applyAlignment="1" pivotButton="0" quotePrefix="0" xfId="0">
      <alignment horizontal="center"/>
    </xf>
    <xf numFmtId="0" fontId="4" fillId="13" borderId="7" pivotButton="0" quotePrefix="0" xfId="0"/>
    <xf numFmtId="168" fontId="4" fillId="11" borderId="7" applyAlignment="1" pivotButton="0" quotePrefix="0" xfId="0">
      <alignment horizontal="center"/>
    </xf>
    <xf numFmtId="0" fontId="4" fillId="13" borderId="7" pivotButton="0" quotePrefix="0" xfId="0"/>
    <xf numFmtId="0" fontId="4" fillId="12" borderId="7" pivotButton="0" quotePrefix="0" xfId="0"/>
    <xf numFmtId="0" fontId="48" fillId="9" borderId="7" applyAlignment="1" pivotButton="0" quotePrefix="0" xfId="0">
      <alignment horizontal="center" vertical="center"/>
    </xf>
    <xf numFmtId="0" fontId="4" fillId="2" borderId="7" pivotButton="0" quotePrefix="0" xfId="0"/>
    <xf numFmtId="0" fontId="60" fillId="23" borderId="1" applyAlignment="1" pivotButton="0" quotePrefix="0" xfId="0">
      <alignment horizontal="center" vertical="center" wrapText="1"/>
    </xf>
    <xf numFmtId="2" fontId="57" fillId="5" borderId="1" applyAlignment="1" pivotButton="0" quotePrefix="0" xfId="0">
      <alignment horizontal="center" vertical="center" wrapText="1"/>
    </xf>
    <xf numFmtId="167" fontId="57" fillId="22" borderId="1" applyAlignment="1" pivotButton="0" quotePrefix="0" xfId="0">
      <alignment horizontal="center" vertical="center" wrapText="1"/>
    </xf>
    <xf numFmtId="3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49" fontId="1" fillId="19" borderId="1" applyAlignment="1" pivotButton="0" quotePrefix="0" xfId="0">
      <alignment vertical="bottom"/>
    </xf>
    <xf numFmtId="0" fontId="1" fillId="19" borderId="1" applyAlignment="1" pivotButton="0" quotePrefix="0" xfId="0">
      <alignment vertical="bottom"/>
    </xf>
    <xf numFmtId="167" fontId="1" fillId="19" borderId="1" applyAlignment="1" pivotButton="0" quotePrefix="0" xfId="0">
      <alignment vertical="bottom"/>
    </xf>
    <xf numFmtId="49" fontId="2" fillId="0" borderId="1" applyAlignment="1" pivotButton="0" quotePrefix="0" xfId="0">
      <alignment horizontal="center" vertical="bottom" wrapText="1"/>
    </xf>
    <xf numFmtId="0" fontId="2" fillId="0" borderId="1" applyAlignment="1" pivotButton="0" quotePrefix="0" xfId="0">
      <alignment vertical="bottom" wrapText="1"/>
    </xf>
    <xf numFmtId="0" fontId="2" fillId="0" borderId="1" applyAlignment="1" pivotButton="0" quotePrefix="0" xfId="0">
      <alignment horizontal="center" vertical="bottom" wrapText="1"/>
    </xf>
    <xf numFmtId="0" fontId="1" fillId="0" borderId="1" applyAlignment="1" pivotButton="0" quotePrefix="0" xfId="0">
      <alignment vertical="bottom"/>
    </xf>
    <xf numFmtId="0" fontId="49" fillId="13" borderId="7" pivotButton="0" quotePrefix="0" xfId="0"/>
    <xf numFmtId="168" fontId="49" fillId="13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3" borderId="7" applyAlignment="1" pivotButton="0" quotePrefix="0" xfId="0">
      <alignment horizontal="right"/>
    </xf>
    <xf numFmtId="168" fontId="50" fillId="13" borderId="7" applyAlignment="1" pivotButton="0" quotePrefix="0" xfId="0">
      <alignment horizontal="right"/>
    </xf>
    <xf numFmtId="0" fontId="50" fillId="13" borderId="7" pivotButton="0" quotePrefix="0" xfId="0"/>
    <xf numFmtId="0" fontId="50" fillId="13" borderId="7" pivotButton="0" quotePrefix="0" xfId="0"/>
    <xf numFmtId="0" fontId="49" fillId="12" borderId="7" pivotButton="0" quotePrefix="0" xfId="0"/>
    <xf numFmtId="168" fontId="49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0" fontId="50" fillId="12" borderId="7" pivotButton="0" quotePrefix="0" xfId="0"/>
    <xf numFmtId="0" fontId="49" fillId="2" borderId="7" pivotButton="0" quotePrefix="0" xfId="0"/>
    <xf numFmtId="168" fontId="49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0" fontId="50" fillId="2" borderId="7" pivotButton="0" quotePrefix="0" xfId="0"/>
    <xf numFmtId="0" fontId="50" fillId="2" borderId="7" pivotButton="0" quotePrefix="0" xfId="0"/>
    <xf numFmtId="0" fontId="50" fillId="12" borderId="7" pivotButton="0" quotePrefix="0" xfId="0"/>
    <xf numFmtId="0" fontId="4" fillId="2" borderId="7" pivotButton="0" quotePrefix="0" xfId="0"/>
    <xf numFmtId="4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2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0" fontId="7" fillId="0" borderId="0" pivotButton="0" quotePrefix="0" xfId="0"/>
    <xf numFmtId="4" fontId="7" fillId="21" borderId="1" applyAlignment="1" pivotButton="0" quotePrefix="0" xfId="0">
      <alignment horizontal="center" vertical="center" wrapText="1"/>
    </xf>
    <xf numFmtId="49" fontId="7" fillId="21" borderId="1" applyAlignment="1" pivotButton="0" quotePrefix="0" xfId="0">
      <alignment horizontal="center" vertical="center" wrapText="1"/>
    </xf>
    <xf numFmtId="4" fontId="61" fillId="21" borderId="1" applyAlignment="1" pivotButton="0" quotePrefix="0" xfId="0">
      <alignment horizontal="center" vertical="center" wrapText="1"/>
    </xf>
    <xf numFmtId="2" fontId="61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4" fontId="7" fillId="22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2" fontId="7" fillId="0" borderId="0" pivotButton="0" quotePrefix="0" xfId="0"/>
    <xf numFmtId="0" fontId="7" fillId="0" borderId="0" pivotButton="0" quotePrefix="0" xfId="0"/>
    <xf numFmtId="2" fontId="62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0" fontId="4" fillId="0" borderId="0" pivotButton="0" quotePrefix="0" xfId="0"/>
    <xf numFmtId="49" fontId="4" fillId="0" borderId="0" pivotButton="0" quotePrefix="0" xfId="0"/>
    <xf numFmtId="49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67" fontId="49" fillId="2" borderId="7" pivotButton="0" quotePrefix="0" xfId="0"/>
    <xf numFmtId="167" fontId="49" fillId="13" borderId="7" pivotButton="0" quotePrefix="0" xfId="0"/>
    <xf numFmtId="0" fontId="51" fillId="25" borderId="7" pivotButton="0" quotePrefix="0" xfId="0"/>
    <xf numFmtId="167" fontId="51" fillId="25" borderId="7" pivotButton="0" quotePrefix="0" xfId="0"/>
    <xf numFmtId="168" fontId="51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0" fontId="4" fillId="25" borderId="7" pivotButton="0" quotePrefix="0" xfId="0"/>
    <xf numFmtId="0" fontId="4" fillId="25" borderId="7" pivotButton="0" quotePrefix="0" xfId="0"/>
    <xf numFmtId="167" fontId="49" fillId="12" borderId="7" pivotButton="0" quotePrefix="0" xfId="0"/>
    <xf numFmtId="168" fontId="50" fillId="11" borderId="7" applyAlignment="1" pivotButton="0" quotePrefix="0" xfId="0">
      <alignment horizontal="center"/>
    </xf>
    <xf numFmtId="0" fontId="50" fillId="12" borderId="7" pivotButton="0" quotePrefix="0" xfId="0"/>
    <xf numFmtId="0" fontId="50" fillId="24" borderId="7" pivotButton="0" quotePrefix="0" xfId="0"/>
    <xf numFmtId="168" fontId="50" fillId="24" borderId="7" applyAlignment="1" pivotButton="0" quotePrefix="0" xfId="0">
      <alignment horizontal="right"/>
    </xf>
    <xf numFmtId="0" fontId="4" fillId="24" borderId="7" pivotButton="0" quotePrefix="0" xfId="0"/>
    <xf numFmtId="168" fontId="4" fillId="24" borderId="7" applyAlignment="1" pivotButton="0" quotePrefix="0" xfId="0">
      <alignment horizontal="right"/>
    </xf>
    <xf numFmtId="0" fontId="50" fillId="2" borderId="7" pivotButton="0" quotePrefix="0" xfId="0"/>
    <xf numFmtId="0" fontId="50" fillId="13" borderId="7" pivotButton="0" quotePrefix="0" xfId="0"/>
    <xf numFmtId="49" fontId="56" fillId="2" borderId="0" applyAlignment="1" pivotButton="0" quotePrefix="0" xfId="0">
      <alignment horizontal="center" vertical="center"/>
    </xf>
    <xf numFmtId="49" fontId="56" fillId="2" borderId="0" applyAlignment="1" pivotButton="0" quotePrefix="0" xfId="0">
      <alignment horizontal="left" vertical="center"/>
    </xf>
    <xf numFmtId="49" fontId="56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2" borderId="0" applyAlignment="1" pivotButton="0" quotePrefix="0" xfId="0">
      <alignment horizontal="left" vertical="center"/>
    </xf>
    <xf numFmtId="4" fontId="57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left" vertical="center"/>
    </xf>
    <xf numFmtId="0" fontId="57" fillId="26" borderId="1" applyAlignment="1" pivotButton="0" quotePrefix="0" xfId="0">
      <alignment horizontal="center" vertical="center" wrapText="1"/>
    </xf>
    <xf numFmtId="49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0" borderId="0" applyAlignment="1" pivotButton="0" quotePrefix="0" xfId="0">
      <alignment horizontal="center" vertical="center" wrapText="1"/>
    </xf>
    <xf numFmtId="49" fontId="7" fillId="20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2" fontId="57" fillId="0" borderId="0" applyAlignment="1" pivotButton="0" quotePrefix="0" xfId="0">
      <alignment vertical="center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49" fontId="55" fillId="27" borderId="1" applyAlignment="1" pivotButton="0" quotePrefix="0" xfId="0">
      <alignment horizontal="center" vertical="center" wrapText="1"/>
    </xf>
    <xf numFmtId="49" fontId="55" fillId="2" borderId="1" applyAlignment="1" pivotButton="0" quotePrefix="0" xfId="0">
      <alignment horizontal="center" vertical="center" wrapText="1"/>
    </xf>
    <xf numFmtId="49" fontId="63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left" vertical="center" wrapText="1"/>
    </xf>
    <xf numFmtId="2" fontId="4" fillId="1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2" fontId="1" fillId="2" borderId="1" applyAlignment="1" pivotButton="0" quotePrefix="0" xfId="0">
      <alignment horizontal="center"/>
    </xf>
    <xf numFmtId="0" fontId="1" fillId="2" borderId="1" pivotButton="0" quotePrefix="0" xfId="0"/>
    <xf numFmtId="2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169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170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 wrapText="1"/>
    </xf>
    <xf numFmtId="2" fontId="1" fillId="2" borderId="2" applyAlignment="1" pivotButton="0" quotePrefix="0" xfId="0">
      <alignment horizontal="center" vertical="center"/>
    </xf>
    <xf numFmtId="0" fontId="4" fillId="0" borderId="8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2" fontId="1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9" fontId="1" fillId="2" borderId="0" applyAlignment="1" pivotButton="0" quotePrefix="0" xfId="0">
      <alignment horizontal="center" vertical="center"/>
    </xf>
    <xf numFmtId="49" fontId="55" fillId="27" borderId="0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49" fontId="5" fillId="27" borderId="1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165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0" fontId="66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center" vertical="center"/>
    </xf>
    <xf numFmtId="2" fontId="4" fillId="16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6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2" fontId="55" fillId="27" borderId="0" applyAlignment="1" pivotButton="0" quotePrefix="0" xfId="0">
      <alignment horizontal="center" vertical="center" wrapText="1"/>
    </xf>
    <xf numFmtId="2" fontId="55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2" fontId="64" fillId="0" borderId="1" applyAlignment="1" pivotButton="0" quotePrefix="0" xfId="0">
      <alignment horizontal="center" vertical="center" wrapText="1"/>
    </xf>
    <xf numFmtId="2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vertical="center" wrapText="1"/>
    </xf>
    <xf numFmtId="2" fontId="4" fillId="15" borderId="1" applyAlignment="1" pivotButton="0" quotePrefix="0" xfId="0">
      <alignment horizontal="center" vertical="center"/>
    </xf>
    <xf numFmtId="2" fontId="4" fillId="30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left" vertical="center" wrapText="1"/>
    </xf>
    <xf numFmtId="0" fontId="1" fillId="15" borderId="1" applyAlignment="1" pivotButton="0" quotePrefix="0" xfId="0">
      <alignment horizontal="center" vertical="center"/>
    </xf>
    <xf numFmtId="2" fontId="1" fillId="15" borderId="1" applyAlignment="1" pivotButton="0" quotePrefix="0" xfId="0">
      <alignment horizontal="center" vertical="center"/>
    </xf>
    <xf numFmtId="169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2" fontId="1" fillId="30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vertical="center" wrapText="1"/>
    </xf>
    <xf numFmtId="1" fontId="4" fillId="15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2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6" fillId="4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2" fontId="1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8" fillId="2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66" fillId="31" borderId="1" applyAlignment="1" pivotButton="0" quotePrefix="0" xfId="0">
      <alignment horizontal="center" vertical="center" wrapText="1"/>
    </xf>
    <xf numFmtId="0" fontId="68" fillId="31" borderId="1" applyAlignment="1" pivotButton="0" quotePrefix="0" xfId="0">
      <alignment horizontal="center" vertical="center" wrapText="1"/>
    </xf>
    <xf numFmtId="0" fontId="69" fillId="31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70" fillId="4" borderId="0" applyAlignment="1" pivotButton="0" quotePrefix="0" xfId="0">
      <alignment horizontal="right" vertical="bottom" wrapText="1"/>
    </xf>
    <xf numFmtId="0" fontId="4" fillId="3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8" fillId="6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center" vertical="center"/>
    </xf>
    <xf numFmtId="165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 wrapText="1"/>
    </xf>
    <xf numFmtId="2" fontId="66" fillId="2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2" fontId="66" fillId="0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/>
    </xf>
    <xf numFmtId="170" fontId="66" fillId="0" borderId="1" applyAlignment="1" pivotButton="0" quotePrefix="0" xfId="0">
      <alignment horizontal="center" vertical="center" wrapText="1"/>
    </xf>
    <xf numFmtId="17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2" fontId="66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0" fontId="71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49" fontId="5" fillId="2" borderId="3" applyAlignment="1" pivotButton="0" quotePrefix="0" xfId="0">
      <alignment horizontal="center" vertical="center" wrapText="1"/>
    </xf>
    <xf numFmtId="2" fontId="4" fillId="32" borderId="1" applyAlignment="1" pivotButton="0" quotePrefix="0" xfId="0">
      <alignment horizontal="center" vertical="center"/>
    </xf>
    <xf numFmtId="169" fontId="66" fillId="0" borderId="1" applyAlignment="1" pivotButton="0" quotePrefix="0" xfId="0">
      <alignment horizontal="center" vertical="center" wrapText="1"/>
    </xf>
    <xf numFmtId="169" fontId="4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49" fontId="55" fillId="27" borderId="1" applyAlignment="1" pivotButton="0" quotePrefix="0" xfId="0">
      <alignment horizontal="center" vertical="center" wrapText="1"/>
    </xf>
    <xf numFmtId="0" fontId="70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 wrapText="1"/>
    </xf>
    <xf numFmtId="169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64" fillId="2" borderId="1" applyAlignment="1" pivotButton="0" quotePrefix="0" xfId="0">
      <alignment horizontal="center" vertical="center" wrapText="1"/>
    </xf>
    <xf numFmtId="0" fontId="67" fillId="2" borderId="1" applyAlignment="1" pivotButton="0" quotePrefix="0" xfId="0">
      <alignment horizontal="center" vertical="center" wrapText="1"/>
    </xf>
    <xf numFmtId="0" fontId="64" fillId="2" borderId="1" applyAlignment="1" pivotButton="0" quotePrefix="0" xfId="0">
      <alignment horizontal="center" vertical="center"/>
    </xf>
    <xf numFmtId="0" fontId="6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pivotButton="0" quotePrefix="0" xfId="0"/>
    <xf numFmtId="0" fontId="72" fillId="33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2" fontId="4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wrapText="1"/>
    </xf>
    <xf numFmtId="0" fontId="4" fillId="4" borderId="1" applyAlignment="1" pivotButton="0" quotePrefix="0" xfId="0">
      <alignment horizontal="center" vertical="center"/>
    </xf>
    <xf numFmtId="0" fontId="66" fillId="4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pivotButton="0" quotePrefix="0" xfId="0"/>
    <xf numFmtId="0" fontId="70" fillId="0" borderId="1" applyAlignment="1" pivotButton="0" quotePrefix="0" xfId="0">
      <alignment vertical="bottom" wrapText="1"/>
    </xf>
    <xf numFmtId="0" fontId="4" fillId="2" borderId="0" pivotButton="0" quotePrefix="0" xfId="0"/>
    <xf numFmtId="0" fontId="4" fillId="2" borderId="1" pivotButton="0" quotePrefix="0" xfId="0"/>
    <xf numFmtId="169" fontId="4" fillId="2" borderId="1" applyAlignment="1" pivotButton="0" quotePrefix="0" xfId="0">
      <alignment horizontal="center" vertical="center"/>
    </xf>
    <xf numFmtId="0" fontId="70" fillId="4" borderId="1" applyAlignment="1" pivotButton="0" quotePrefix="0" xfId="0">
      <alignment vertical="bottom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2" borderId="0" pivotButton="0" quotePrefix="0" xfId="0"/>
    <xf numFmtId="169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wrapText="1"/>
    </xf>
    <xf numFmtId="0" fontId="4" fillId="2" borderId="1" pivotButton="0" quotePrefix="0" xfId="0"/>
    <xf numFmtId="0" fontId="4" fillId="2" borderId="0" applyAlignment="1" pivotButton="0" quotePrefix="0" xfId="0">
      <alignment wrapText="1"/>
    </xf>
    <xf numFmtId="169" fontId="4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 wrapText="1"/>
    </xf>
    <xf numFmtId="49" fontId="55" fillId="27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/>
    </xf>
    <xf numFmtId="0" fontId="66" fillId="24" borderId="1" applyAlignment="1" pivotButton="0" quotePrefix="0" xfId="0">
      <alignment horizontal="center" vertical="center" wrapText="1"/>
    </xf>
    <xf numFmtId="0" fontId="66" fillId="0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0" fontId="66" fillId="24" borderId="1" applyAlignment="1" pivotButton="0" quotePrefix="0" xfId="0">
      <alignment horizontal="left" vertical="center"/>
    </xf>
    <xf numFmtId="170" fontId="4" fillId="0" borderId="1" applyAlignment="1" pivotButton="0" quotePrefix="0" xfId="0">
      <alignment horizontal="center" vertical="center"/>
    </xf>
    <xf numFmtId="173" fontId="4" fillId="0" borderId="1" applyAlignment="1" pivotButton="0" quotePrefix="0" xfId="0">
      <alignment horizontal="center" vertical="center"/>
    </xf>
    <xf numFmtId="170" fontId="4" fillId="24" borderId="1" applyAlignment="1" pivotButton="0" quotePrefix="0" xfId="0">
      <alignment horizontal="center" vertical="center"/>
    </xf>
    <xf numFmtId="169" fontId="4" fillId="24" borderId="1" applyAlignment="1" pivotButton="0" quotePrefix="0" xfId="0">
      <alignment horizontal="center" vertical="center"/>
    </xf>
    <xf numFmtId="172" fontId="4" fillId="24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horizontal="left" vertical="center"/>
    </xf>
    <xf numFmtId="0" fontId="74" fillId="24" borderId="1" applyAlignment="1" pivotButton="0" quotePrefix="0" xfId="0">
      <alignment horizontal="center" vertical="center"/>
    </xf>
    <xf numFmtId="2" fontId="74" fillId="24" borderId="1" applyAlignment="1" pivotButton="0" quotePrefix="0" xfId="0">
      <alignment horizontal="center" vertical="center"/>
    </xf>
    <xf numFmtId="0" fontId="73" fillId="24" borderId="1" applyAlignment="1" pivotButton="0" quotePrefix="0" xfId="0">
      <alignment horizontal="center" vertical="center"/>
    </xf>
    <xf numFmtId="2" fontId="73" fillId="24" borderId="1" applyAlignment="1" pivotButton="0" quotePrefix="0" xfId="0">
      <alignment horizontal="left" vertical="center"/>
    </xf>
    <xf numFmtId="0" fontId="75" fillId="24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/>
    </xf>
    <xf numFmtId="171" fontId="4" fillId="4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34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 wrapText="1"/>
    </xf>
    <xf numFmtId="169" fontId="4" fillId="0" borderId="0" pivotButton="0" quotePrefix="0" xfId="0"/>
    <xf numFmtId="2" fontId="1" fillId="0" borderId="1" applyAlignment="1" pivotButton="0" quotePrefix="0" xfId="0">
      <alignment horizontal="center" vertical="center"/>
    </xf>
    <xf numFmtId="0" fontId="76" fillId="24" borderId="1" applyAlignment="1" pivotButton="0" quotePrefix="0" xfId="0">
      <alignment horizontal="left" vertical="center"/>
    </xf>
    <xf numFmtId="169" fontId="4" fillId="32" borderId="1" applyAlignment="1" pivotButton="0" quotePrefix="0" xfId="0">
      <alignment horizontal="center" vertical="center"/>
    </xf>
    <xf numFmtId="4" fontId="74" fillId="24" borderId="1" applyAlignment="1" pivotButton="0" quotePrefix="0" xfId="0">
      <alignment horizontal="center" vertical="center"/>
    </xf>
    <xf numFmtId="49" fontId="77" fillId="27" borderId="0" applyAlignment="1" pivotButton="0" quotePrefix="0" xfId="0">
      <alignment horizontal="center" vertical="center" wrapText="1"/>
    </xf>
    <xf numFmtId="49" fontId="77" fillId="27" borderId="0" applyAlignment="1" pivotButton="0" quotePrefix="0" xfId="0">
      <alignment horizontal="center" vertical="center" wrapText="1"/>
    </xf>
    <xf numFmtId="49" fontId="77" fillId="2" borderId="0" applyAlignment="1" pivotButton="0" quotePrefix="0" xfId="0">
      <alignment horizontal="center" vertical="center" wrapText="1"/>
    </xf>
    <xf numFmtId="2" fontId="77" fillId="2" borderId="0" applyAlignment="1" pivotButton="0" quotePrefix="0" xfId="0">
      <alignment horizontal="center" vertical="center" wrapText="1"/>
    </xf>
    <xf numFmtId="49" fontId="77" fillId="27" borderId="1" applyAlignment="1" pivotButton="0" quotePrefix="0" xfId="0">
      <alignment horizontal="center" vertical="center" wrapText="1"/>
    </xf>
    <xf numFmtId="49" fontId="77" fillId="2" borderId="1" applyAlignment="1" pivotButton="0" quotePrefix="0" xfId="0">
      <alignment horizontal="center" vertical="center" wrapText="1"/>
    </xf>
    <xf numFmtId="2" fontId="77" fillId="2" borderId="3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/>
    </xf>
    <xf numFmtId="2" fontId="78" fillId="0" borderId="1" applyAlignment="1" pivotButton="0" quotePrefix="0" xfId="0">
      <alignment horizontal="center" vertical="center" wrapText="1"/>
    </xf>
    <xf numFmtId="0" fontId="77" fillId="24" borderId="1" applyAlignment="1" pivotButton="0" quotePrefix="0" xfId="0">
      <alignment horizontal="left" vertical="center"/>
    </xf>
    <xf numFmtId="0" fontId="79" fillId="24" borderId="1" applyAlignment="1" pivotButton="0" quotePrefix="0" xfId="0">
      <alignment horizontal="center" vertical="center"/>
    </xf>
    <xf numFmtId="165" fontId="79" fillId="24" borderId="1" applyAlignment="1" pivotButton="0" quotePrefix="0" xfId="0">
      <alignment horizontal="center" vertical="center"/>
    </xf>
    <xf numFmtId="2" fontId="77" fillId="24" borderId="1" applyAlignment="1" pivotButton="0" quotePrefix="0" xfId="0">
      <alignment horizontal="center" vertical="center"/>
    </xf>
    <xf numFmtId="0" fontId="77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left" vertical="center" wrapText="1"/>
    </xf>
    <xf numFmtId="2" fontId="79" fillId="24" borderId="1" applyAlignment="1" pivotButton="0" quotePrefix="0" xfId="0">
      <alignment horizontal="center" vertical="center"/>
    </xf>
    <xf numFmtId="2" fontId="79" fillId="24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left" vertical="center"/>
    </xf>
    <xf numFmtId="0" fontId="79" fillId="6" borderId="1" applyAlignment="1" pivotButton="0" quotePrefix="0" xfId="0">
      <alignment horizontal="center" vertical="center"/>
    </xf>
    <xf numFmtId="165" fontId="79" fillId="6" borderId="1" applyAlignment="1" pivotButton="0" quotePrefix="0" xfId="0">
      <alignment horizontal="center" vertical="center"/>
    </xf>
    <xf numFmtId="2" fontId="77" fillId="6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left" vertical="center" wrapText="1"/>
    </xf>
    <xf numFmtId="2" fontId="79" fillId="6" borderId="1" applyAlignment="1" pivotButton="0" quotePrefix="0" xfId="0">
      <alignment horizontal="center" vertical="center"/>
    </xf>
    <xf numFmtId="2" fontId="79" fillId="6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5" fontId="79" fillId="0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left" vertical="center" wrapText="1"/>
    </xf>
    <xf numFmtId="0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9" fontId="79" fillId="0" borderId="1" applyAlignment="1" pivotButton="0" quotePrefix="0" xfId="0">
      <alignment horizontal="center" vertical="center"/>
    </xf>
    <xf numFmtId="2" fontId="79" fillId="0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0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1" fontId="79" fillId="24" borderId="1" applyAlignment="1" pivotButton="0" quotePrefix="0" xfId="0">
      <alignment horizontal="center" vertical="center"/>
    </xf>
    <xf numFmtId="170" fontId="79" fillId="24" borderId="1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 wrapText="1"/>
    </xf>
    <xf numFmtId="2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49" fontId="55" fillId="2" borderId="3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55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 wrapText="1"/>
    </xf>
    <xf numFmtId="2" fontId="2" fillId="24" borderId="1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55" fillId="24" borderId="1" applyAlignment="1" pivotButton="0" quotePrefix="0" xfId="0">
      <alignment horizontal="left" vertical="center"/>
    </xf>
    <xf numFmtId="165" fontId="2" fillId="2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1" fontId="2" fillId="24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71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/>
    </xf>
    <xf numFmtId="165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0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left" vertical="center" wrapText="1"/>
    </xf>
    <xf numFmtId="171" fontId="2" fillId="28" borderId="1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71" fontId="2" fillId="4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4" fontId="2" fillId="0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1" fontId="2" fillId="28" borderId="1" applyAlignment="1" pivotButton="0" quotePrefix="0" xfId="0">
      <alignment horizontal="center" vertical="center"/>
    </xf>
    <xf numFmtId="2" fontId="2" fillId="28" borderId="1" applyAlignment="1" pivotButton="0" quotePrefix="0" xfId="0">
      <alignment horizontal="center" vertical="center"/>
    </xf>
    <xf numFmtId="1" fontId="2" fillId="28" borderId="1" applyAlignment="1" pivotButton="0" quotePrefix="0" xfId="0">
      <alignment horizontal="center" vertical="center"/>
    </xf>
    <xf numFmtId="1" fontId="2" fillId="28" borderId="0" applyAlignment="1" pivotButton="0" quotePrefix="0" xfId="0">
      <alignment horizontal="center" vertical="center"/>
    </xf>
    <xf numFmtId="172" fontId="2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0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69" fontId="2" fillId="24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2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2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49" fontId="56" fillId="31" borderId="1" applyAlignment="1" pivotButton="0" quotePrefix="0" xfId="0">
      <alignment horizontal="center" vertical="center"/>
    </xf>
    <xf numFmtId="49" fontId="56" fillId="31" borderId="1" applyAlignment="1" pivotButton="0" quotePrefix="0" xfId="0">
      <alignment horizontal="center" vertical="center" wrapText="1"/>
    </xf>
    <xf numFmtId="2" fontId="56" fillId="31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/>
    </xf>
    <xf numFmtId="0" fontId="58" fillId="0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8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0" fontId="56" fillId="4" borderId="1" applyAlignment="1" pivotButton="0" quotePrefix="0" xfId="0">
      <alignment horizontal="left" vertical="center" wrapText="1"/>
    </xf>
    <xf numFmtId="0" fontId="57" fillId="4" borderId="1" applyAlignment="1" pivotButton="0" quotePrefix="0" xfId="0">
      <alignment horizontal="center" vertical="center"/>
    </xf>
    <xf numFmtId="165" fontId="57" fillId="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left" vertical="center" wrapText="1"/>
    </xf>
    <xf numFmtId="2" fontId="57" fillId="24" borderId="1" applyAlignment="1" pivotButton="0" quotePrefix="0" xfId="0">
      <alignment horizontal="center" vertical="center"/>
    </xf>
    <xf numFmtId="0" fontId="56" fillId="4" borderId="1" applyAlignment="1" pivotButton="0" quotePrefix="0" xfId="0">
      <alignment horizontal="left" vertical="center"/>
    </xf>
    <xf numFmtId="0" fontId="57" fillId="35" borderId="1" applyAlignment="1" pivotButton="0" quotePrefix="0" xfId="0">
      <alignment horizontal="center" vertical="center" wrapText="1"/>
    </xf>
    <xf numFmtId="0" fontId="56" fillId="35" borderId="1" applyAlignment="1" pivotButton="0" quotePrefix="0" xfId="0">
      <alignment horizontal="center" vertical="center"/>
    </xf>
    <xf numFmtId="0" fontId="57" fillId="35" borderId="1" applyAlignment="1" pivotButton="0" quotePrefix="0" xfId="0">
      <alignment horizontal="center" vertical="center" wrapText="1"/>
    </xf>
    <xf numFmtId="165" fontId="57" fillId="35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 wrapText="1"/>
    </xf>
    <xf numFmtId="2" fontId="57" fillId="35" borderId="1" applyAlignment="1" pivotButton="0" quotePrefix="0" xfId="0">
      <alignment horizontal="center" vertical="center" wrapText="1"/>
    </xf>
    <xf numFmtId="0" fontId="56" fillId="36" borderId="1" applyAlignment="1" pivotButton="0" quotePrefix="0" xfId="0">
      <alignment horizontal="center" vertical="center"/>
    </xf>
    <xf numFmtId="0" fontId="57" fillId="36" borderId="1" applyAlignment="1" pivotButton="0" quotePrefix="0" xfId="0">
      <alignment horizontal="center" vertical="center" wrapText="1"/>
    </xf>
    <xf numFmtId="165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left" vertical="center" wrapText="1"/>
    </xf>
    <xf numFmtId="2" fontId="57" fillId="36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/>
    </xf>
    <xf numFmtId="165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0" fontId="59" fillId="0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/>
    </xf>
    <xf numFmtId="0" fontId="57" fillId="0" borderId="1" applyAlignment="1" pivotButton="0" quotePrefix="0" xfId="0">
      <alignment vertical="center"/>
    </xf>
    <xf numFmtId="0" fontId="57" fillId="24" borderId="1" applyAlignment="1" pivotButton="0" quotePrefix="0" xfId="0">
      <alignment vertical="center"/>
    </xf>
    <xf numFmtId="0" fontId="57" fillId="0" borderId="1" applyAlignment="1" pivotButton="0" quotePrefix="0" xfId="0">
      <alignment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left" vertical="center" wrapText="1"/>
    </xf>
    <xf numFmtId="0" fontId="57" fillId="32" borderId="1" applyAlignment="1" pivotButton="0" quotePrefix="0" xfId="0">
      <alignment horizontal="center" vertical="center"/>
    </xf>
    <xf numFmtId="2" fontId="57" fillId="32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26" borderId="1" applyAlignment="1" pivotButton="0" quotePrefix="0" xfId="0">
      <alignment horizontal="left" vertical="center" wrapText="1"/>
    </xf>
    <xf numFmtId="0" fontId="57" fillId="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 wrapText="1"/>
    </xf>
    <xf numFmtId="2" fontId="57" fillId="0" borderId="1" applyAlignment="1" pivotButton="0" quotePrefix="0" xfId="0">
      <alignment horizontal="center" vertical="center" wrapText="1"/>
    </xf>
    <xf numFmtId="0" fontId="57" fillId="32" borderId="0" applyAlignment="1" pivotButton="0" quotePrefix="0" xfId="0">
      <alignment horizontal="left" vertical="center"/>
    </xf>
    <xf numFmtId="165" fontId="57" fillId="32" borderId="1" applyAlignment="1" pivotButton="0" quotePrefix="0" xfId="0">
      <alignment horizontal="center" vertical="center" wrapText="1"/>
    </xf>
    <xf numFmtId="2" fontId="57" fillId="3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/>
    </xf>
    <xf numFmtId="169" fontId="57" fillId="0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/>
    </xf>
    <xf numFmtId="2" fontId="57" fillId="35" borderId="1" applyAlignment="1" pivotButton="0" quotePrefix="0" xfId="0">
      <alignment horizontal="center" vertical="center" wrapText="1"/>
    </xf>
    <xf numFmtId="0" fontId="56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vertical="center"/>
    </xf>
    <xf numFmtId="175" fontId="57" fillId="24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/>
    </xf>
    <xf numFmtId="2" fontId="57" fillId="36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 wrapText="1"/>
    </xf>
    <xf numFmtId="165" fontId="57" fillId="0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/>
    </xf>
    <xf numFmtId="2" fontId="57" fillId="4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0" fontId="57" fillId="2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165" fontId="57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0" fontId="57" fillId="2" borderId="1" applyAlignment="1" pivotButton="0" quotePrefix="0" xfId="0">
      <alignment horizontal="left" vertical="center" wrapText="1"/>
    </xf>
    <xf numFmtId="0" fontId="57" fillId="36" borderId="1" applyAlignment="1" pivotButton="0" quotePrefix="0" xfId="0">
      <alignment horizontal="left" vertical="center"/>
    </xf>
    <xf numFmtId="0" fontId="56" fillId="32" borderId="1" applyAlignment="1" pivotButton="0" quotePrefix="0" xfId="0">
      <alignment horizontal="center" vertical="center" wrapText="1"/>
    </xf>
    <xf numFmtId="0" fontId="57" fillId="32" borderId="2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left" vertical="center" wrapText="1"/>
    </xf>
    <xf numFmtId="2" fontId="57" fillId="32" borderId="4" applyAlignment="1" pivotButton="0" quotePrefix="0" xfId="0">
      <alignment horizontal="center" vertical="center" wrapText="1"/>
    </xf>
    <xf numFmtId="0" fontId="57" fillId="32" borderId="3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vertical="center"/>
    </xf>
    <xf numFmtId="0" fontId="57" fillId="24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/>
    </xf>
    <xf numFmtId="0" fontId="56" fillId="35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 wrapText="1"/>
    </xf>
    <xf numFmtId="0" fontId="57" fillId="35" borderId="1" applyAlignment="1" pivotButton="0" quotePrefix="0" xfId="0">
      <alignment vertical="center"/>
    </xf>
    <xf numFmtId="165" fontId="57" fillId="35" borderId="1" applyAlignment="1" pivotButton="0" quotePrefix="0" xfId="0">
      <alignment vertical="center"/>
    </xf>
    <xf numFmtId="0" fontId="57" fillId="35" borderId="1" applyAlignment="1" pivotButton="0" quotePrefix="0" xfId="0">
      <alignment horizontal="center" vertical="center"/>
    </xf>
    <xf numFmtId="2" fontId="57" fillId="35" borderId="1" applyAlignment="1" pivotButton="0" quotePrefix="0" xfId="0">
      <alignment vertical="center"/>
    </xf>
    <xf numFmtId="165" fontId="57" fillId="0" borderId="1" applyAlignment="1" pivotButton="0" quotePrefix="0" xfId="0">
      <alignment horizontal="center" vertical="center"/>
    </xf>
    <xf numFmtId="17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0" fontId="57" fillId="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2" fontId="55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2" fontId="55" fillId="2" borderId="1" applyAlignment="1" pivotButton="0" quotePrefix="0" xfId="0">
      <alignment horizontal="center" vertical="center" wrapText="1"/>
    </xf>
    <xf numFmtId="0" fontId="80" fillId="0" borderId="1" applyAlignment="1" pivotButton="0" quotePrefix="0" xfId="0">
      <alignment horizontal="center" vertical="center" wrapText="1"/>
    </xf>
    <xf numFmtId="0" fontId="81" fillId="0" borderId="1" applyAlignment="1" pivotButton="0" quotePrefix="0" xfId="0">
      <alignment horizontal="center" vertical="center" wrapText="1"/>
    </xf>
    <xf numFmtId="2" fontId="8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vertical="center" wrapText="1"/>
    </xf>
    <xf numFmtId="171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2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7" fillId="2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72" fontId="7" fillId="0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left" vertical="center" wrapText="1"/>
    </xf>
    <xf numFmtId="17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9" fontId="7" fillId="2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24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2" fontId="7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2" fontId="7" fillId="0" borderId="0" applyAlignment="1" pivotButton="0" quotePrefix="0" xfId="0">
      <alignment horizontal="center" vertical="center" wrapText="1"/>
    </xf>
    <xf numFmtId="2" fontId="6" fillId="24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vertical="center" wrapText="1"/>
    </xf>
    <xf numFmtId="172" fontId="7" fillId="2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170" fontId="7" fillId="24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9" fontId="7" fillId="8" borderId="1" applyAlignment="1" pivotButton="0" quotePrefix="0" xfId="0">
      <alignment horizontal="center" vertical="center" wrapText="1"/>
    </xf>
    <xf numFmtId="169" fontId="7" fillId="24" borderId="1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 wrapText="1"/>
    </xf>
    <xf numFmtId="49" fontId="55" fillId="20" borderId="1" applyAlignment="1" pivotButton="0" quotePrefix="0" xfId="0">
      <alignment horizontal="center" vertical="center" wrapText="1"/>
    </xf>
    <xf numFmtId="4" fontId="55" fillId="20" borderId="1" applyAlignment="1" pivotButton="0" quotePrefix="0" xfId="0">
      <alignment horizontal="center" vertical="center" wrapText="1"/>
    </xf>
    <xf numFmtId="3" fontId="55" fillId="20" borderId="1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49" fontId="2" fillId="21" borderId="1" applyAlignment="1" pivotButton="0" quotePrefix="0" xfId="0">
      <alignment horizontal="center" vertical="center" wrapText="1"/>
    </xf>
    <xf numFmtId="4" fontId="2" fillId="21" borderId="1" applyAlignment="1" pivotButton="0" quotePrefix="0" xfId="0">
      <alignment horizontal="center" vertical="center" wrapText="1"/>
    </xf>
    <xf numFmtId="4" fontId="65" fillId="21" borderId="1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3" fontId="2" fillId="23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49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 wrapText="1"/>
    </xf>
    <xf numFmtId="49" fontId="2" fillId="24" borderId="3" applyAlignment="1" pivotButton="0" quotePrefix="0" xfId="0">
      <alignment horizontal="center" vertical="center" wrapText="1"/>
    </xf>
    <xf numFmtId="3" fontId="2" fillId="24" borderId="1" applyAlignment="1" pivotButton="0" quotePrefix="0" xfId="0">
      <alignment horizontal="center" vertical="center" wrapText="1"/>
    </xf>
    <xf numFmtId="4" fontId="2" fillId="24" borderId="1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167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9" fontId="83" fillId="18" borderId="1" applyAlignment="1" pivotButton="0" quotePrefix="0" xfId="0">
      <alignment horizontal="center" vertical="bottom" wrapText="1"/>
    </xf>
    <xf numFmtId="0" fontId="83" fillId="18" borderId="1" applyAlignment="1" pivotButton="0" quotePrefix="0" xfId="0">
      <alignment vertical="bottom" wrapText="1"/>
    </xf>
    <xf numFmtId="0" fontId="83" fillId="18" borderId="1" applyAlignment="1" pivotButton="0" quotePrefix="0" xfId="0">
      <alignment horizontal="center" vertical="bottom" wrapText="1"/>
    </xf>
    <xf numFmtId="0" fontId="84" fillId="18" borderId="1" applyAlignment="1" pivotButton="0" quotePrefix="0" xfId="0">
      <alignment horizontal="center" vertical="bottom" wrapText="1"/>
    </xf>
    <xf numFmtId="0" fontId="85" fillId="18" borderId="1" applyAlignment="1" pivotButton="0" quotePrefix="0" xfId="0">
      <alignment horizontal="center" vertical="bottom" wrapText="1"/>
    </xf>
    <xf numFmtId="49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vertical="bottom" wrapText="1"/>
    </xf>
    <xf numFmtId="0" fontId="86" fillId="2" borderId="1" applyAlignment="1" pivotButton="0" quotePrefix="0" xfId="0">
      <alignment horizontal="center" vertical="bottom"/>
    </xf>
    <xf numFmtId="0" fontId="86" fillId="0" borderId="1" applyAlignment="1" pivotButton="0" quotePrefix="0" xfId="0">
      <alignment horizontal="center" vertical="bottom"/>
    </xf>
    <xf numFmtId="0" fontId="1" fillId="2" borderId="1" applyAlignment="1" pivotButton="0" quotePrefix="0" xfId="0">
      <alignment vertical="bottom"/>
    </xf>
    <xf numFmtId="49" fontId="85" fillId="0" borderId="1" applyAlignment="1" pivotButton="0" quotePrefix="0" xfId="0">
      <alignment horizontal="center" vertical="bottom" wrapText="1"/>
    </xf>
    <xf numFmtId="49" fontId="55" fillId="20" borderId="1" applyAlignment="1" pivotButton="0" quotePrefix="0" xfId="0">
      <alignment horizontal="center" wrapText="1"/>
    </xf>
    <xf numFmtId="4" fontId="55" fillId="20" borderId="1" applyAlignment="1" pivotButton="0" quotePrefix="0" xfId="0">
      <alignment horizontal="center" wrapText="1"/>
    </xf>
    <xf numFmtId="3" fontId="55" fillId="20" borderId="1" applyAlignment="1" pivotButton="0" quotePrefix="0" xfId="0">
      <alignment horizontal="center" wrapText="1"/>
    </xf>
    <xf numFmtId="0" fontId="1" fillId="0" borderId="0" pivotButton="0" quotePrefix="0" xfId="0"/>
    <xf numFmtId="3" fontId="1" fillId="0" borderId="0" pivotButton="0" quotePrefix="0" xfId="0"/>
    <xf numFmtId="49" fontId="1" fillId="0" borderId="0" pivotButton="0" quotePrefix="0" xfId="0"/>
    <xf numFmtId="49" fontId="1" fillId="21" borderId="1" pivotButton="0" quotePrefix="0" xfId="0"/>
    <xf numFmtId="4" fontId="65" fillId="21" borderId="1" applyAlignment="1" pivotButton="0" quotePrefix="0" xfId="0">
      <alignment horizontal="center" wrapText="1"/>
    </xf>
    <xf numFmtId="4" fontId="2" fillId="21" borderId="1" applyAlignment="1" pivotButton="0" quotePrefix="0" xfId="0">
      <alignment horizontal="center" wrapText="1"/>
    </xf>
    <xf numFmtId="4" fontId="1" fillId="0" borderId="0" pivotButton="0" quotePrefix="0" xfId="0"/>
    <xf numFmtId="0" fontId="85" fillId="22" borderId="1" applyAlignment="1" pivotButton="0" quotePrefix="0" xfId="0">
      <alignment horizontal="center"/>
    </xf>
    <xf numFmtId="0" fontId="1" fillId="22" borderId="1" pivotButton="0" quotePrefix="0" xfId="0"/>
    <xf numFmtId="167" fontId="85" fillId="22" borderId="1" applyAlignment="1" pivotButton="0" quotePrefix="0" xfId="0">
      <alignment horizontal="center"/>
    </xf>
    <xf numFmtId="0" fontId="85" fillId="22" borderId="1" applyAlignment="1" pivotButton="0" quotePrefix="0" xfId="0">
      <alignment horizontal="center"/>
    </xf>
    <xf numFmtId="0" fontId="87" fillId="23" borderId="1" applyAlignment="1" pivotButton="0" quotePrefix="0" xfId="0">
      <alignment horizontal="center" wrapText="1"/>
    </xf>
    <xf numFmtId="0" fontId="87" fillId="23" borderId="1" applyAlignment="1" pivotButton="0" quotePrefix="0" xfId="0">
      <alignment horizontal="center" wrapText="1"/>
    </xf>
    <xf numFmtId="49" fontId="87" fillId="23" borderId="1" applyAlignment="1" pivotButton="0" quotePrefix="0" xfId="0">
      <alignment horizontal="center" wrapText="1"/>
    </xf>
    <xf numFmtId="2" fontId="87" fillId="23" borderId="1" applyAlignment="1" pivotButton="0" quotePrefix="0" xfId="0">
      <alignment horizontal="center" wrapText="1"/>
    </xf>
    <xf numFmtId="4" fontId="88" fillId="23" borderId="1" pivotButton="0" quotePrefix="0" xfId="0"/>
    <xf numFmtId="4" fontId="87" fillId="23" borderId="1" applyAlignment="1" pivotButton="0" quotePrefix="0" xfId="0">
      <alignment horizontal="center" wrapText="1"/>
    </xf>
    <xf numFmtId="0" fontId="88" fillId="0" borderId="0" applyAlignment="1" pivotButton="0" quotePrefix="0" xfId="0">
      <alignment vertical="bottom"/>
    </xf>
    <xf numFmtId="2" fontId="85" fillId="22" borderId="1" applyAlignment="1" pivotButton="0" quotePrefix="0" xfId="0">
      <alignment horizontal="center"/>
    </xf>
    <xf numFmtId="49" fontId="85" fillId="22" borderId="1" applyAlignment="1" pivotButton="0" quotePrefix="0" xfId="0">
      <alignment horizontal="center" wrapText="1"/>
    </xf>
    <xf numFmtId="0" fontId="1" fillId="22" borderId="1" applyAlignment="1" pivotButton="0" quotePrefix="0" xfId="0">
      <alignment horizontal="center"/>
    </xf>
    <xf numFmtId="4" fontId="85" fillId="22" borderId="1" applyAlignment="1" pivotButton="0" quotePrefix="0" xfId="0">
      <alignment horizontal="center"/>
    </xf>
    <xf numFmtId="2" fontId="87" fillId="5" borderId="1" applyAlignment="1" pivotButton="0" quotePrefix="0" xfId="0">
      <alignment horizontal="center" wrapText="1"/>
    </xf>
    <xf numFmtId="4" fontId="87" fillId="23" borderId="1" applyAlignment="1" pivotButton="0" quotePrefix="0" xfId="0">
      <alignment horizontal="center" wrapText="1"/>
    </xf>
    <xf numFmtId="0" fontId="89" fillId="24" borderId="1" applyAlignment="1" pivotButton="0" quotePrefix="0" xfId="0">
      <alignment horizontal="center" wrapText="1"/>
    </xf>
    <xf numFmtId="0" fontId="90" fillId="24" borderId="1" pivotButton="0" quotePrefix="0" xfId="0"/>
    <xf numFmtId="49" fontId="90" fillId="24" borderId="3" pivotButton="0" quotePrefix="0" xfId="0"/>
    <xf numFmtId="2" fontId="89" fillId="24" borderId="1" applyAlignment="1" pivotButton="0" quotePrefix="0" xfId="0">
      <alignment horizontal="center" wrapText="1"/>
    </xf>
    <xf numFmtId="4" fontId="90" fillId="24" borderId="1" pivotButton="0" quotePrefix="0" xfId="0"/>
    <xf numFmtId="0" fontId="90" fillId="0" borderId="0" applyAlignment="1" pivotButton="0" quotePrefix="0" xfId="0">
      <alignment vertical="bottom"/>
    </xf>
    <xf numFmtId="49" fontId="87" fillId="23" borderId="1" applyAlignment="1" pivotButton="0" quotePrefix="0" xfId="0">
      <alignment horizontal="center" wrapText="1"/>
    </xf>
    <xf numFmtId="49" fontId="7" fillId="22" borderId="1" applyAlignment="1" pivotButton="0" quotePrefix="0" xfId="0">
      <alignment horizontal="center" wrapText="1"/>
    </xf>
    <xf numFmtId="49" fontId="7" fillId="23" borderId="1" applyAlignment="1" pivotButton="0" quotePrefix="0" xfId="0">
      <alignment horizontal="center" wrapText="1"/>
    </xf>
    <xf numFmtId="167" fontId="1" fillId="0" borderId="0" pivotButton="0" quotePrefix="0" xfId="0"/>
    <xf numFmtId="0" fontId="1" fillId="0" borderId="0" pivotButton="0" quotePrefix="0" xfId="0"/>
    <xf numFmtId="0" fontId="85" fillId="2" borderId="1" applyAlignment="1" pivotButton="0" quotePrefix="0" xfId="0">
      <alignment vertical="bottom" wrapText="1"/>
    </xf>
    <xf numFmtId="49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wrapText="1"/>
    </xf>
    <xf numFmtId="49" fontId="55" fillId="31" borderId="1" applyAlignment="1" pivotButton="0" quotePrefix="0" xfId="0">
      <alignment horizontal="center" vertical="center"/>
    </xf>
    <xf numFmtId="49" fontId="55" fillId="31" borderId="1" applyAlignment="1" pivotButton="0" quotePrefix="0" xfId="0">
      <alignment horizontal="center" vertical="center" wrapText="1"/>
    </xf>
    <xf numFmtId="2" fontId="55" fillId="31" borderId="1" applyAlignment="1" pivotButton="0" quotePrefix="0" xfId="0">
      <alignment horizontal="center" vertical="center" wrapText="1"/>
    </xf>
    <xf numFmtId="170" fontId="55" fillId="31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left" vertical="center" wrapText="1"/>
    </xf>
    <xf numFmtId="2" fontId="65" fillId="0" borderId="1" applyAlignment="1" pivotButton="0" quotePrefix="0" xfId="0">
      <alignment horizontal="center" vertical="center" wrapText="1"/>
    </xf>
    <xf numFmtId="170" fontId="65" fillId="0" borderId="1" applyAlignment="1" pivotButton="0" quotePrefix="0" xfId="0">
      <alignment horizontal="center" vertical="center" wrapText="1"/>
    </xf>
    <xf numFmtId="0" fontId="55" fillId="36" borderId="1" applyAlignment="1" pivotButton="0" quotePrefix="0" xfId="0">
      <alignment horizontal="center" vertical="center"/>
    </xf>
    <xf numFmtId="0" fontId="2" fillId="36" borderId="1" applyAlignment="1" pivotButton="0" quotePrefix="0" xfId="0">
      <alignment horizontal="center" vertical="center" wrapText="1"/>
    </xf>
    <xf numFmtId="165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left" vertical="center" wrapText="1"/>
    </xf>
    <xf numFmtId="2" fontId="2" fillId="36" borderId="1" applyAlignment="1" pivotButton="0" quotePrefix="0" xfId="0">
      <alignment horizontal="center" vertical="center" wrapText="1"/>
    </xf>
    <xf numFmtId="170" fontId="2" fillId="3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2" fontId="2" fillId="24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/>
    </xf>
    <xf numFmtId="170" fontId="55" fillId="36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vertical="center"/>
    </xf>
    <xf numFmtId="170" fontId="2" fillId="24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170" fontId="2" fillId="0" borderId="0" applyAlignment="1" pivotButton="0" quotePrefix="0" xfId="0">
      <alignment vertical="center"/>
    </xf>
    <xf numFmtId="0" fontId="55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165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left" vertical="center" wrapText="1"/>
    </xf>
    <xf numFmtId="2" fontId="2" fillId="37" borderId="1" applyAlignment="1" pivotButton="0" quotePrefix="0" xfId="0">
      <alignment horizontal="center" vertical="center" wrapText="1"/>
    </xf>
    <xf numFmtId="170" fontId="2" fillId="37" borderId="1" applyAlignment="1" pivotButton="0" quotePrefix="0" xfId="0">
      <alignment horizontal="center" vertical="center" wrapText="1"/>
    </xf>
    <xf numFmtId="0" fontId="55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165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left" vertical="center" wrapText="1"/>
    </xf>
    <xf numFmtId="2" fontId="2" fillId="35" borderId="1" applyAlignment="1" pivotButton="0" quotePrefix="0" xfId="0">
      <alignment horizontal="center" vertical="center" wrapText="1"/>
    </xf>
    <xf numFmtId="170" fontId="2" fillId="35" borderId="1" applyAlignment="1" pivotButton="0" quotePrefix="0" xfId="0">
      <alignment horizontal="center" vertical="center" wrapText="1"/>
    </xf>
    <xf numFmtId="0" fontId="70" fillId="24" borderId="1" applyAlignment="1" pivotButton="0" quotePrefix="0" xfId="0">
      <alignment vertical="bottom"/>
    </xf>
    <xf numFmtId="0" fontId="2" fillId="21" borderId="1" applyAlignment="1" pivotButton="0" quotePrefix="0" xfId="0">
      <alignment horizontal="center" vertical="center" wrapText="1"/>
    </xf>
    <xf numFmtId="2" fontId="2" fillId="38" borderId="1" applyAlignment="1" pivotButton="0" quotePrefix="0" xfId="0">
      <alignment horizontal="center" vertical="center" wrapText="1"/>
    </xf>
    <xf numFmtId="0" fontId="70" fillId="32" borderId="1" applyAlignment="1" pivotButton="0" quotePrefix="0" xfId="0">
      <alignment vertical="bottom"/>
    </xf>
    <xf numFmtId="0" fontId="70" fillId="28" borderId="1" applyAlignment="1" pivotButton="0" quotePrefix="0" xfId="0">
      <alignment vertical="bottom"/>
    </xf>
    <xf numFmtId="2" fontId="2" fillId="28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2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17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49" fontId="5" fillId="31" borderId="1" applyAlignment="1" pivotButton="0" quotePrefix="0" xfId="0">
      <alignment horizontal="center" vertical="center"/>
    </xf>
    <xf numFmtId="49" fontId="5" fillId="31" borderId="1" applyAlignment="1" pivotButton="0" quotePrefix="0" xfId="0">
      <alignment horizontal="center" vertical="center" wrapText="1"/>
    </xf>
    <xf numFmtId="2" fontId="5" fillId="31" borderId="1" applyAlignment="1" pivotButton="0" quotePrefix="0" xfId="0">
      <alignment horizontal="center" vertical="center" wrapText="1"/>
    </xf>
    <xf numFmtId="170" fontId="5" fillId="31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/>
    </xf>
    <xf numFmtId="0" fontId="6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/>
    </xf>
    <xf numFmtId="2" fontId="67" fillId="0" borderId="1" applyAlignment="1" pivotButton="0" quotePrefix="0" xfId="0">
      <alignment horizontal="center" vertical="center" wrapText="1"/>
    </xf>
    <xf numFmtId="170" fontId="6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/>
    </xf>
    <xf numFmtId="0" fontId="87" fillId="36" borderId="1" applyAlignment="1" pivotButton="0" quotePrefix="0" xfId="0">
      <alignment horizontal="center" vertical="center" wrapText="1"/>
    </xf>
    <xf numFmtId="165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left" vertical="center" wrapText="1"/>
    </xf>
    <xf numFmtId="2" fontId="87" fillId="36" borderId="1" applyAlignment="1" pivotButton="0" quotePrefix="0" xfId="0">
      <alignment horizontal="center" vertical="center" wrapText="1"/>
    </xf>
    <xf numFmtId="170" fontId="87" fillId="36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 wrapText="1"/>
    </xf>
    <xf numFmtId="165" fontId="8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left" vertical="center" wrapText="1"/>
    </xf>
    <xf numFmtId="2" fontId="87" fillId="24" borderId="1" applyAlignment="1" pivotButton="0" quotePrefix="0" xfId="0">
      <alignment horizontal="center" vertical="center" wrapText="1"/>
    </xf>
    <xf numFmtId="17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/>
    </xf>
    <xf numFmtId="0" fontId="87" fillId="0" borderId="1" applyAlignment="1" pivotButton="0" quotePrefix="0" xfId="0">
      <alignment horizontal="center" wrapText="1"/>
    </xf>
    <xf numFmtId="170" fontId="5" fillId="36" borderId="1" applyAlignment="1" pivotButton="0" quotePrefix="0" xfId="0">
      <alignment horizontal="center" vertical="center"/>
    </xf>
    <xf numFmtId="2" fontId="87" fillId="0" borderId="1" applyAlignment="1" pivotButton="0" quotePrefix="0" xfId="0">
      <alignment horizontal="center" vertical="center" wrapText="1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vertical="center"/>
    </xf>
    <xf numFmtId="2" fontId="87" fillId="2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vertical="center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170" fontId="87" fillId="0" borderId="1" applyAlignment="1" pivotButton="0" quotePrefix="0" xfId="0">
      <alignment vertical="center"/>
    </xf>
    <xf numFmtId="170" fontId="87" fillId="24" borderId="1" applyAlignment="1" pivotButton="0" quotePrefix="0" xfId="0">
      <alignment vertical="center"/>
    </xf>
    <xf numFmtId="0" fontId="87" fillId="24" borderId="1" applyAlignment="1" pivotButton="0" quotePrefix="0" xfId="0">
      <alignment vertical="center"/>
    </xf>
    <xf numFmtId="170" fontId="4" fillId="0" borderId="0" pivotButton="0" quotePrefix="0" xfId="0"/>
    <xf numFmtId="0" fontId="48" fillId="9" borderId="7" applyAlignment="1" pivotButton="0" quotePrefix="0" xfId="0">
      <alignment horizontal="center" wrapText="1"/>
    </xf>
    <xf numFmtId="0" fontId="48" fillId="9" borderId="7" applyAlignment="1" pivotButton="0" quotePrefix="0" xfId="0">
      <alignment horizontal="center"/>
    </xf>
    <xf numFmtId="0" fontId="48" fillId="9" borderId="7" applyAlignment="1" pivotButton="0" quotePrefix="0" xfId="0">
      <alignment horizontal="center"/>
    </xf>
    <xf numFmtId="0" fontId="49" fillId="10" borderId="7" applyAlignment="1" pivotButton="0" quotePrefix="0" xfId="0">
      <alignment horizontal="center" wrapText="1"/>
    </xf>
    <xf numFmtId="0" fontId="49" fillId="10" borderId="7" applyAlignment="1" pivotButton="0" quotePrefix="0" xfId="0">
      <alignment horizontal="center"/>
    </xf>
    <xf numFmtId="167" fontId="49" fillId="10" borderId="7" applyAlignment="1" pivotButton="0" quotePrefix="0" xfId="0">
      <alignment horizontal="center"/>
    </xf>
    <xf numFmtId="168" fontId="49" fillId="10" borderId="7" applyAlignment="1" pivotButton="0" quotePrefix="0" xfId="0">
      <alignment horizontal="right" wrapText="1"/>
    </xf>
    <xf numFmtId="168" fontId="1" fillId="11" borderId="7" pivotButton="0" quotePrefix="0" xfId="0"/>
    <xf numFmtId="168" fontId="49" fillId="10" borderId="7" applyAlignment="1" pivotButton="0" quotePrefix="0" xfId="0">
      <alignment horizontal="right"/>
    </xf>
    <xf numFmtId="168" fontId="49" fillId="25" borderId="7" applyAlignment="1" pivotButton="0" quotePrefix="0" xfId="0">
      <alignment horizontal="right"/>
    </xf>
    <xf numFmtId="168" fontId="1" fillId="10" borderId="7" pivotButton="0" quotePrefix="0" xfId="0"/>
    <xf numFmtId="0" fontId="51" fillId="12" borderId="7" applyAlignment="1" pivotButton="0" quotePrefix="0" xfId="0">
      <alignment horizontal="center" wrapText="1"/>
    </xf>
    <xf numFmtId="0" fontId="51" fillId="12" borderId="7" applyAlignment="1" pivotButton="0" quotePrefix="0" xfId="0">
      <alignment horizontal="center"/>
    </xf>
    <xf numFmtId="167" fontId="51" fillId="12" borderId="7" applyAlignment="1" pivotButton="0" quotePrefix="0" xfId="0">
      <alignment horizontal="center"/>
    </xf>
    <xf numFmtId="168" fontId="51" fillId="12" borderId="7" applyAlignment="1" pivotButton="0" quotePrefix="0" xfId="0">
      <alignment horizontal="right" wrapText="1"/>
    </xf>
    <xf numFmtId="168" fontId="51" fillId="11" borderId="7" applyAlignment="1" pivotButton="0" quotePrefix="0" xfId="0">
      <alignment horizontal="center"/>
    </xf>
    <xf numFmtId="168" fontId="1" fillId="12" borderId="7" applyAlignment="1" pivotButton="0" quotePrefix="0" xfId="0">
      <alignment horizontal="right"/>
    </xf>
    <xf numFmtId="168" fontId="1" fillId="12" borderId="7" applyAlignment="1" pivotButton="0" quotePrefix="0" xfId="0">
      <alignment horizontal="right" wrapText="1"/>
    </xf>
    <xf numFmtId="168" fontId="1" fillId="25" borderId="7" applyAlignment="1" pivotButton="0" quotePrefix="0" xfId="0">
      <alignment horizontal="right"/>
    </xf>
    <xf numFmtId="168" fontId="1" fillId="12" borderId="7" pivotButton="0" quotePrefix="0" xfId="0"/>
    <xf numFmtId="0" fontId="51" fillId="13" borderId="7" applyAlignment="1" pivotButton="0" quotePrefix="0" xfId="0">
      <alignment horizontal="center" wrapText="1"/>
    </xf>
    <xf numFmtId="0" fontId="51" fillId="13" borderId="7" applyAlignment="1" pivotButton="0" quotePrefix="0" xfId="0">
      <alignment horizontal="center"/>
    </xf>
    <xf numFmtId="167" fontId="51" fillId="13" borderId="7" applyAlignment="1" pivotButton="0" quotePrefix="0" xfId="0">
      <alignment horizontal="center"/>
    </xf>
    <xf numFmtId="168" fontId="51" fillId="13" borderId="7" applyAlignment="1" pivotButton="0" quotePrefix="0" xfId="0">
      <alignment horizontal="right" wrapText="1"/>
    </xf>
    <xf numFmtId="168" fontId="1" fillId="13" borderId="7" applyAlignment="1" pivotButton="0" quotePrefix="0" xfId="0">
      <alignment horizontal="right"/>
    </xf>
    <xf numFmtId="168" fontId="1" fillId="13" borderId="7" applyAlignment="1" pivotButton="0" quotePrefix="0" xfId="0">
      <alignment horizontal="right" wrapText="1"/>
    </xf>
    <xf numFmtId="168" fontId="1" fillId="13" borderId="7" pivotButton="0" quotePrefix="0" xfId="0"/>
    <xf numFmtId="0" fontId="51" fillId="2" borderId="7" applyAlignment="1" pivotButton="0" quotePrefix="0" xfId="0">
      <alignment horizontal="center" wrapText="1"/>
    </xf>
    <xf numFmtId="0" fontId="51" fillId="2" borderId="7" applyAlignment="1" pivotButton="0" quotePrefix="0" xfId="0">
      <alignment horizontal="center"/>
    </xf>
    <xf numFmtId="167" fontId="51" fillId="2" borderId="7" applyAlignment="1" pivotButton="0" quotePrefix="0" xfId="0">
      <alignment horizontal="center"/>
    </xf>
    <xf numFmtId="168" fontId="51" fillId="2" borderId="7" applyAlignment="1" pivotButton="0" quotePrefix="0" xfId="0">
      <alignment horizontal="right" wrapText="1"/>
    </xf>
    <xf numFmtId="168" fontId="1" fillId="2" borderId="7" applyAlignment="1" pivotButton="0" quotePrefix="0" xfId="0">
      <alignment horizontal="right"/>
    </xf>
    <xf numFmtId="168" fontId="1" fillId="2" borderId="7" applyAlignment="1" pivotButton="0" quotePrefix="0" xfId="0">
      <alignment horizontal="right" wrapText="1"/>
    </xf>
    <xf numFmtId="168" fontId="1" fillId="2" borderId="7" pivotButton="0" quotePrefix="0" xfId="0"/>
    <xf numFmtId="0" fontId="49" fillId="10" borderId="7" applyAlignment="1" pivotButton="0" quotePrefix="0" xfId="0">
      <alignment horizontal="center"/>
    </xf>
    <xf numFmtId="0" fontId="51" fillId="12" borderId="7" applyAlignment="1" pivotButton="0" quotePrefix="0" xfId="0">
      <alignment horizontal="center"/>
    </xf>
    <xf numFmtId="0" fontId="51" fillId="2" borderId="7" applyAlignment="1" pivotButton="0" quotePrefix="0" xfId="0">
      <alignment horizontal="center"/>
    </xf>
    <xf numFmtId="0" fontId="49" fillId="12" borderId="7" applyAlignment="1" pivotButton="0" quotePrefix="0" xfId="0">
      <alignment horizontal="center" wrapText="1"/>
    </xf>
    <xf numFmtId="0" fontId="49" fillId="12" borderId="7" applyAlignment="1" pivotButton="0" quotePrefix="0" xfId="0">
      <alignment horizontal="center"/>
    </xf>
    <xf numFmtId="167" fontId="49" fillId="12" borderId="7" applyAlignment="1" pivotButton="0" quotePrefix="0" xfId="0">
      <alignment horizontal="center"/>
    </xf>
    <xf numFmtId="168" fontId="49" fillId="12" borderId="7" applyAlignment="1" pivotButton="0" quotePrefix="0" xfId="0">
      <alignment horizontal="right" wrapText="1"/>
    </xf>
    <xf numFmtId="168" fontId="49" fillId="12" borderId="7" applyAlignment="1" pivotButton="0" quotePrefix="0" xfId="0">
      <alignment horizontal="right"/>
    </xf>
    <xf numFmtId="0" fontId="49" fillId="13" borderId="7" applyAlignment="1" pivotButton="0" quotePrefix="0" xfId="0">
      <alignment horizontal="center" wrapText="1"/>
    </xf>
    <xf numFmtId="0" fontId="49" fillId="13" borderId="7" applyAlignment="1" pivotButton="0" quotePrefix="0" xfId="0">
      <alignment horizontal="center"/>
    </xf>
    <xf numFmtId="167" fontId="49" fillId="13" borderId="7" applyAlignment="1" pivotButton="0" quotePrefix="0" xfId="0">
      <alignment horizontal="center"/>
    </xf>
    <xf numFmtId="168" fontId="49" fillId="13" borderId="7" applyAlignment="1" pivotButton="0" quotePrefix="0" xfId="0">
      <alignment horizontal="right" wrapText="1"/>
    </xf>
    <xf numFmtId="168" fontId="49" fillId="13" borderId="7" applyAlignment="1" pivotButton="0" quotePrefix="0" xfId="0">
      <alignment horizontal="right"/>
    </xf>
    <xf numFmtId="0" fontId="49" fillId="2" borderId="7" applyAlignment="1" pivotButton="0" quotePrefix="0" xfId="0">
      <alignment horizontal="center" wrapText="1"/>
    </xf>
    <xf numFmtId="0" fontId="49" fillId="2" borderId="7" applyAlignment="1" pivotButton="0" quotePrefix="0" xfId="0">
      <alignment horizontal="center"/>
    </xf>
    <xf numFmtId="167" fontId="49" fillId="2" borderId="7" applyAlignment="1" pivotButton="0" quotePrefix="0" xfId="0">
      <alignment horizontal="center"/>
    </xf>
    <xf numFmtId="168" fontId="49" fillId="2" borderId="7" applyAlignment="1" pivotButton="0" quotePrefix="0" xfId="0">
      <alignment horizontal="right" wrapText="1"/>
    </xf>
    <xf numFmtId="168" fontId="49" fillId="2" borderId="7" applyAlignment="1" pivotButton="0" quotePrefix="0" xfId="0">
      <alignment horizontal="right"/>
    </xf>
    <xf numFmtId="0" fontId="49" fillId="12" borderId="7" applyAlignment="1" pivotButton="0" quotePrefix="0" xfId="0">
      <alignment horizontal="center"/>
    </xf>
    <xf numFmtId="0" fontId="49" fillId="2" borderId="7" applyAlignment="1" pivotButton="0" quotePrefix="0" xfId="0">
      <alignment horizontal="center"/>
    </xf>
    <xf numFmtId="0" fontId="51" fillId="13" borderId="7" applyAlignment="1" pivotButton="0" quotePrefix="0" xfId="0">
      <alignment horizontal="center"/>
    </xf>
    <xf numFmtId="168" fontId="49" fillId="24" borderId="7" applyAlignment="1" pivotButton="0" quotePrefix="0" xfId="0">
      <alignment horizontal="right" wrapText="1"/>
    </xf>
    <xf numFmtId="168" fontId="49" fillId="24" borderId="7" applyAlignment="1" pivotButton="0" quotePrefix="0" xfId="0">
      <alignment horizontal="right"/>
    </xf>
    <xf numFmtId="168" fontId="51" fillId="24" borderId="7" applyAlignment="1" pivotButton="0" quotePrefix="0" xfId="0">
      <alignment horizontal="right" wrapText="1"/>
    </xf>
    <xf numFmtId="168" fontId="1" fillId="24" borderId="7" applyAlignment="1" pivotButton="0" quotePrefix="0" xfId="0">
      <alignment horizontal="right"/>
    </xf>
    <xf numFmtId="0" fontId="49" fillId="13" borderId="7" applyAlignment="1" pivotButton="0" quotePrefix="0" xfId="0">
      <alignment horizontal="center"/>
    </xf>
    <xf numFmtId="0" fontId="49" fillId="10" borderId="7" applyAlignment="1" pivotButton="0" quotePrefix="0" xfId="0">
      <alignment vertical="bottom" wrapText="1"/>
    </xf>
    <xf numFmtId="0" fontId="49" fillId="10" borderId="7" applyAlignment="1" pivotButton="0" quotePrefix="0" xfId="0">
      <alignment vertical="bottom"/>
    </xf>
    <xf numFmtId="0" fontId="49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vertical="bottom"/>
    </xf>
    <xf numFmtId="168" fontId="1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/>
    </xf>
    <xf numFmtId="0" fontId="1" fillId="2" borderId="7" applyAlignment="1" pivotButton="0" quotePrefix="0" xfId="0">
      <alignment vertical="bottom" wrapText="1"/>
    </xf>
    <xf numFmtId="0" fontId="1" fillId="2" borderId="7" applyAlignment="1" pivotButton="0" quotePrefix="0" xfId="0">
      <alignment vertical="bottom"/>
    </xf>
    <xf numFmtId="0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horizontal="center" vertical="bottom"/>
    </xf>
    <xf numFmtId="168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/>
    </xf>
    <xf numFmtId="0" fontId="1" fillId="12" borderId="7" applyAlignment="1" pivotButton="0" quotePrefix="0" xfId="0">
      <alignment vertical="bottom" wrapText="1"/>
    </xf>
    <xf numFmtId="0" fontId="1" fillId="12" borderId="7" applyAlignment="1" pivotButton="0" quotePrefix="0" xfId="0">
      <alignment vertical="bottom"/>
    </xf>
    <xf numFmtId="0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 wrapText="1"/>
    </xf>
    <xf numFmtId="168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/>
    </xf>
    <xf numFmtId="0" fontId="1" fillId="13" borderId="7" applyAlignment="1" pivotButton="0" quotePrefix="0" xfId="0">
      <alignment vertical="bottom" wrapText="1"/>
    </xf>
    <xf numFmtId="0" fontId="1" fillId="13" borderId="7" applyAlignment="1" pivotButton="0" quotePrefix="0" xfId="0">
      <alignment vertical="bottom"/>
    </xf>
    <xf numFmtId="0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 wrapText="1"/>
    </xf>
    <xf numFmtId="168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/>
    </xf>
    <xf numFmtId="2" fontId="91" fillId="39" borderId="1" applyAlignment="1" pivotButton="0" quotePrefix="0" xfId="0">
      <alignment horizontal="center" vertical="bottom" wrapText="1"/>
    </xf>
    <xf numFmtId="49" fontId="91" fillId="39" borderId="1" applyAlignment="1" pivotButton="0" quotePrefix="0" xfId="0">
      <alignment horizontal="center" vertical="bottom" wrapText="1"/>
    </xf>
    <xf numFmtId="1" fontId="91" fillId="39" borderId="1" applyAlignment="1" pivotButton="0" quotePrefix="0" xfId="0">
      <alignment horizontal="center" vertical="bottom" wrapText="1"/>
    </xf>
    <xf numFmtId="3" fontId="1" fillId="0" borderId="0" applyAlignment="1" pivotButton="0" quotePrefix="0" xfId="0">
      <alignment vertical="bottom"/>
    </xf>
    <xf numFmtId="49" fontId="1" fillId="0" borderId="0" applyAlignment="1" pivotButton="0" quotePrefix="0" xfId="0">
      <alignment vertical="bottom"/>
    </xf>
    <xf numFmtId="2" fontId="1" fillId="2" borderId="1" applyAlignment="1" pivotButton="0" quotePrefix="0" xfId="0">
      <alignment vertical="bottom"/>
    </xf>
    <xf numFmtId="49" fontId="1" fillId="2" borderId="1" applyAlignment="1" pivotButton="0" quotePrefix="0" xfId="0">
      <alignment vertical="bottom"/>
    </xf>
    <xf numFmtId="2" fontId="92" fillId="2" borderId="1" applyAlignment="1" pivotButton="0" quotePrefix="0" xfId="0">
      <alignment horizontal="center" vertical="bottom" wrapText="1"/>
    </xf>
    <xf numFmtId="4" fontId="1" fillId="0" borderId="0" applyAlignment="1" pivotButton="0" quotePrefix="0" xfId="0">
      <alignment vertical="bottom"/>
    </xf>
    <xf numFmtId="2" fontId="93" fillId="40" borderId="1" applyAlignment="1" pivotButton="0" quotePrefix="0" xfId="0">
      <alignment horizontal="center" vertical="bottom"/>
    </xf>
    <xf numFmtId="49" fontId="1" fillId="40" borderId="1" applyAlignment="1" pivotButton="0" quotePrefix="0" xfId="0">
      <alignment vertical="bottom"/>
    </xf>
    <xf numFmtId="2" fontId="1" fillId="40" borderId="1" applyAlignment="1" pivotButton="0" quotePrefix="0" xfId="0">
      <alignment vertical="bottom"/>
    </xf>
    <xf numFmtId="2" fontId="93" fillId="2" borderId="1" applyAlignment="1" pivotButton="0" quotePrefix="0" xfId="0">
      <alignment horizontal="center" vertical="bottom" wrapText="1"/>
    </xf>
    <xf numFmtId="49" fontId="93" fillId="4" borderId="1" applyAlignment="1" pivotButton="0" quotePrefix="0" xfId="0">
      <alignment horizontal="center" vertical="bottom" wrapText="1"/>
    </xf>
    <xf numFmtId="49" fontId="93" fillId="2" borderId="1" applyAlignment="1" pivotButton="0" quotePrefix="0" xfId="0">
      <alignment horizontal="center" vertical="bottom" wrapText="1"/>
    </xf>
    <xf numFmtId="2" fontId="93" fillId="2" borderId="1" applyAlignment="1" pivotButton="0" quotePrefix="0" xfId="0">
      <alignment horizontal="center" vertical="bottom"/>
    </xf>
    <xf numFmtId="2" fontId="93" fillId="2" borderId="1" applyAlignment="1" pivotButton="0" quotePrefix="0" xfId="0">
      <alignment horizontal="center" wrapText="1"/>
    </xf>
    <xf numFmtId="2" fontId="93" fillId="41" borderId="1" applyAlignment="1" pivotButton="0" quotePrefix="0" xfId="0">
      <alignment horizontal="center" vertical="bottom"/>
    </xf>
    <xf numFmtId="2" fontId="1" fillId="41" borderId="1" applyAlignment="1" pivotButton="0" quotePrefix="0" xfId="0">
      <alignment vertical="bottom"/>
    </xf>
    <xf numFmtId="49" fontId="1" fillId="41" borderId="3" applyAlignment="1" pivotButton="0" quotePrefix="0" xfId="0">
      <alignment vertical="bottom"/>
    </xf>
    <xf numFmtId="171" fontId="1" fillId="41" borderId="1" applyAlignment="1" pivotButton="0" quotePrefix="0" xfId="0">
      <alignment vertical="bottom"/>
    </xf>
    <xf numFmtId="171" fontId="93" fillId="41" borderId="1" applyAlignment="1" pivotButton="0" quotePrefix="0" xfId="0">
      <alignment horizontal="center" vertical="bottom" wrapText="1"/>
    </xf>
    <xf numFmtId="4" fontId="1" fillId="41" borderId="1" applyAlignment="1" pivotButton="0" quotePrefix="0" xfId="0">
      <alignment vertical="bottom"/>
    </xf>
    <xf numFmtId="2" fontId="1" fillId="2" borderId="0" applyAlignment="1" pivotButton="0" quotePrefix="0" xfId="0">
      <alignment vertical="bottom"/>
    </xf>
    <xf numFmtId="49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4" fontId="1" fillId="2" borderId="0" applyAlignment="1" pivotButton="0" quotePrefix="0" xfId="0">
      <alignment vertical="bottom"/>
    </xf>
    <xf numFmtId="0" fontId="93" fillId="2" borderId="3" applyAlignment="1" pivotButton="0" quotePrefix="0" xfId="0">
      <alignment horizontal="center" vertical="bottom" wrapText="1"/>
    </xf>
    <xf numFmtId="2" fontId="93" fillId="41" borderId="1" applyAlignment="1" pivotButton="0" quotePrefix="0" xfId="0">
      <alignment horizontal="center" vertical="bottom" wrapText="1"/>
    </xf>
    <xf numFmtId="2" fontId="93" fillId="38" borderId="1" applyAlignment="1" pivotButton="0" quotePrefix="0" xfId="0">
      <alignment horizontal="center" vertical="bottom" wrapText="1"/>
    </xf>
    <xf numFmtId="0" fontId="93" fillId="40" borderId="1" applyAlignment="1" pivotButton="0" quotePrefix="0" xfId="0">
      <alignment horizontal="center" vertical="bottom" wrapText="1"/>
    </xf>
    <xf numFmtId="0" fontId="93" fillId="2" borderId="1" applyAlignment="1" pivotButton="0" quotePrefix="0" xfId="0">
      <alignment horizontal="center" vertical="bottom" wrapText="1"/>
    </xf>
    <xf numFmtId="2" fontId="1" fillId="31" borderId="1" applyAlignment="1" pivotButton="0" quotePrefix="0" xfId="0">
      <alignment vertical="bottom"/>
    </xf>
    <xf numFmtId="2" fontId="93" fillId="31" borderId="1" applyAlignment="1" pivotButton="0" quotePrefix="0" xfId="0">
      <alignment horizontal="center" vertical="bottom" wrapText="1"/>
    </xf>
    <xf numFmtId="49" fontId="93" fillId="40" borderId="1" applyAlignment="1" pivotButton="0" quotePrefix="0" xfId="0">
      <alignment horizontal="center" vertical="bottom"/>
    </xf>
    <xf numFmtId="2" fontId="93" fillId="28" borderId="1" applyAlignment="1" pivotButton="0" quotePrefix="0" xfId="0">
      <alignment horizontal="center" vertical="bottom"/>
    </xf>
    <xf numFmtId="4" fontId="93" fillId="2" borderId="1" applyAlignment="1" pivotButton="0" quotePrefix="0" xfId="0">
      <alignment horizontal="center" vertical="bottom" wrapText="1"/>
    </xf>
    <xf numFmtId="167" fontId="1" fillId="0" borderId="0" applyAlignment="1" pivotButton="0" quotePrefix="0" xfId="0">
      <alignment vertical="bottom"/>
    </xf>
    <xf numFmtId="49" fontId="1" fillId="2" borderId="3" applyAlignment="1" pivotButton="0" quotePrefix="0" xfId="0">
      <alignment vertical="bottom"/>
    </xf>
    <xf numFmtId="171" fontId="1" fillId="2" borderId="1" applyAlignment="1" pivotButton="0" quotePrefix="0" xfId="0">
      <alignment vertical="bottom"/>
    </xf>
    <xf numFmtId="4" fontId="1" fillId="2" borderId="1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0" fontId="86" fillId="4" borderId="1" applyAlignment="1" pivotButton="0" quotePrefix="0" xfId="0">
      <alignment vertical="bottom" wrapText="1"/>
    </xf>
    <xf numFmtId="0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wrapText="1"/>
    </xf>
    <xf numFmtId="0" fontId="85" fillId="2" borderId="1" applyAlignment="1" pivotButton="0" quotePrefix="0" xfId="0">
      <alignment horizontal="center" wrapText="1"/>
    </xf>
    <xf numFmtId="0" fontId="86" fillId="2" borderId="1" applyAlignment="1" pivotButton="0" quotePrefix="0" xfId="0">
      <alignment horizontal="center" vertical="bottom" wrapText="1"/>
    </xf>
    <xf numFmtId="49" fontId="5" fillId="2" borderId="0" applyAlignment="1" pivotButton="0" quotePrefix="0" xfId="0">
      <alignment horizontal="center" vertical="center" wrapText="1"/>
    </xf>
    <xf numFmtId="2" fontId="5" fillId="2" borderId="0" applyAlignment="1" pivotButton="0" quotePrefix="0" xfId="0">
      <alignment horizontal="center" vertical="center" wrapText="1"/>
    </xf>
    <xf numFmtId="0" fontId="64" fillId="27" borderId="1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center" vertical="center" wrapText="1"/>
    </xf>
    <xf numFmtId="2" fontId="65" fillId="0" borderId="0" applyAlignment="1" pivotButton="0" quotePrefix="0" xfId="0">
      <alignment horizontal="center" vertical="center" wrapText="1"/>
    </xf>
    <xf numFmtId="169" fontId="4" fillId="42" borderId="1" applyAlignment="1" pivotButton="0" quotePrefix="0" xfId="0">
      <alignment horizontal="center" vertical="center"/>
    </xf>
    <xf numFmtId="169" fontId="4" fillId="27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0" applyAlignment="1" pivotButton="0" quotePrefix="0" xfId="0">
      <alignment horizontal="center" vertical="center"/>
    </xf>
    <xf numFmtId="2" fontId="4" fillId="4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/>
  </cellStyles>
  <dxfs count="1">
    <dxf>
      <font/>
      <fill>
        <patternFill patternType="solid">
          <fgColor rgb="FFBDBDBD"/>
          <bgColor rgb="FFBDBDB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tc={69ef73cd-dea7-4632-badf-8159eab6112f}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просьба указать высоту кладки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10.bitrix24.ru/company/personal/user/947/tasks/task/view/29449/" TargetMode="External" Id="rId1"/><Relationship Type="http://schemas.openxmlformats.org/officeDocument/2006/relationships/hyperlink" Target="https://su10.bitrix24.ru/workgroups/group/125/tasks/task/view/32829/" TargetMode="External" Id="rId2"/><Relationship Type="http://schemas.openxmlformats.org/officeDocument/2006/relationships/hyperlink" Target="https://su10.bitrix24.ru/company/personal/user/947/tasks/task/view/29245/" TargetMode="External" Id="rId3"/><Relationship Type="http://schemas.openxmlformats.org/officeDocument/2006/relationships/hyperlink" Target="https://su10.bitrix24.ru/workgroups/group/125/tasks/task/view/32803/" TargetMode="External" Id="rId4"/><Relationship Type="http://schemas.openxmlformats.org/officeDocument/2006/relationships/hyperlink" Target="https://su10.bitrix24.ru/workgroups/group/125/tasks/task/view/22973/" TargetMode="External" Id="rId5"/><Relationship Type="http://schemas.openxmlformats.org/officeDocument/2006/relationships/hyperlink" Target="https://su10.bitrix24.ru/workgroups/group/125/tasks/task/view/23359/" TargetMode="External" Id="rId6"/><Relationship Type="http://schemas.openxmlformats.org/officeDocument/2006/relationships/hyperlink" Target="https://su10.bitrix24.ru/workgroups/group/125/tasks/task/view/24751/" TargetMode="External" Id="rId7"/><Relationship Type="http://schemas.openxmlformats.org/officeDocument/2006/relationships/hyperlink" Target="https://su10.bitrix24.ru/workgroups/group/125/tasks/task/view/24753/" TargetMode="External" Id="rId8"/><Relationship Type="http://schemas.openxmlformats.org/officeDocument/2006/relationships/hyperlink" Target="https://su10.bitrix24.ru/workgroups/group/125/tasks/task/view/24755/" TargetMode="External" Id="rId9"/><Relationship Type="http://schemas.openxmlformats.org/officeDocument/2006/relationships/hyperlink" Target="https://su10.bitrix24.ru/workgroups/group/125/tasks/task/view/26371/" TargetMode="External" Id="rId10"/><Relationship Type="http://schemas.openxmlformats.org/officeDocument/2006/relationships/hyperlink" Target="https://su10.bitrix24.ru/company/personal/user/947/tasks/task/view/26947/" TargetMode="External" Id="rId11"/><Relationship Type="http://schemas.openxmlformats.org/officeDocument/2006/relationships/hyperlink" Target="https://su10.bitrix24.ru/company/personal/user/947/tasks/task/view/30977/" TargetMode="External" Id="rId12"/><Relationship Type="http://schemas.openxmlformats.org/officeDocument/2006/relationships/hyperlink" Target="https://su10.bitrix24.ru/workgroups/group/125/tasks/task/view/33419/" TargetMode="External" Id="rId13"/><Relationship Type="http://schemas.openxmlformats.org/officeDocument/2006/relationships/hyperlink" Target="https://su10.bitrix24.ru/company/personal/user/677/tasks/task/view/34259/" TargetMode="External" Id="rId14"/><Relationship Type="http://schemas.openxmlformats.org/officeDocument/2006/relationships/hyperlink" Target="https://su10.bitrix24.ru/workgroups/group/125/tasks/task/view/20131/" TargetMode="External" Id="rId15"/><Relationship Type="http://schemas.openxmlformats.org/officeDocument/2006/relationships/hyperlink" Target="https://su10.bitrix24.ru/company/personal/user/947/tasks/task/view/21133/" TargetMode="External" Id="rId16"/><Relationship Type="http://schemas.openxmlformats.org/officeDocument/2006/relationships/hyperlink" Target="https://su10.bitrix24.ru/workgroups/group/125/tasks/task/view/21445/" TargetMode="External" Id="rId17"/><Relationship Type="http://schemas.openxmlformats.org/officeDocument/2006/relationships/hyperlink" Target="https://su10.bitrix24.ru/workgroups/group/125/tasks/task/view/22695/" TargetMode="External" Id="rId18"/><Relationship Type="http://schemas.openxmlformats.org/officeDocument/2006/relationships/hyperlink" Target="https://su10.bitrix24.ru/workgroups/group/125/tasks/task/view/23355/" TargetMode="External" Id="rId19"/><Relationship Type="http://schemas.openxmlformats.org/officeDocument/2006/relationships/hyperlink" Target="https://su10.bitrix24.ru/workgroups/group/125/tasks/task/view/23825/" TargetMode="External" Id="rId20"/><Relationship Type="http://schemas.openxmlformats.org/officeDocument/2006/relationships/hyperlink" Target="https://su10.bitrix24.ru/workgroups/group/125/tasks/task/view/25271/" TargetMode="External" Id="rId21"/><Relationship Type="http://schemas.openxmlformats.org/officeDocument/2006/relationships/hyperlink" Target="https://su10.bitrix24.ru/company/personal/user/947/tasks/task/view/29865/" TargetMode="External" Id="rId22"/><Relationship Type="http://schemas.openxmlformats.org/officeDocument/2006/relationships/hyperlink" Target="https://su10.bitrix24.ru/company/personal/user/677/tasks/task/view/32797/" TargetMode="External" Id="rId23"/><Relationship Type="http://schemas.openxmlformats.org/officeDocument/2006/relationships/hyperlink" Target="https://su10.bitrix24.ru/workgroups/group/125/tasks/task/view/33421/" TargetMode="External" Id="rId24"/><Relationship Type="http://schemas.openxmlformats.org/officeDocument/2006/relationships/hyperlink" Target="https://su10.bitrix24.ru/company/personal/user/677/tasks/task/view/34265/" TargetMode="External" Id="rId25"/><Relationship Type="http://schemas.openxmlformats.org/officeDocument/2006/relationships/hyperlink" Target="https://docs.google.com/spreadsheets/d/1vXj5wpOkSwfbvY9POjll2RNzwcpQmQq6d2BBqP8lFOI/edit?gid=2133002276" TargetMode="External" Id="rId26"/><Relationship Type="http://schemas.openxmlformats.org/officeDocument/2006/relationships/hyperlink" Target="https://su10.bitrix24.ru/workgroups/group/125/tasks/task/view/20137/" TargetMode="External" Id="rId27"/><Relationship Type="http://schemas.openxmlformats.org/officeDocument/2006/relationships/hyperlink" Target="https://su10.bitrix24.ru/company/personal/user/947/tasks/task/view/21135/" TargetMode="External" Id="rId28"/><Relationship Type="http://schemas.openxmlformats.org/officeDocument/2006/relationships/hyperlink" Target="https://su10.bitrix24.ru/workgroups/group/125/tasks/task/view/21447/" TargetMode="External" Id="rId29"/><Relationship Type="http://schemas.openxmlformats.org/officeDocument/2006/relationships/hyperlink" Target="https://su10.bitrix24.ru/workgroups/group/125/tasks/task/view/22425/" TargetMode="External" Id="rId30"/><Relationship Type="http://schemas.openxmlformats.org/officeDocument/2006/relationships/hyperlink" Target="https://su10.bitrix24.ru/company/personal/user/947/tasks/task/view/22983/" TargetMode="External" Id="rId31"/><Relationship Type="http://schemas.openxmlformats.org/officeDocument/2006/relationships/hyperlink" Target="https://su10.bitrix24.ru/company/personal/user/969/tasks/task/view/23149/" TargetMode="External" Id="rId32"/><Relationship Type="http://schemas.openxmlformats.org/officeDocument/2006/relationships/hyperlink" Target="https://su10.bitrix24.ru/workgroups/group/125/tasks/task/view/23823/" TargetMode="External" Id="rId33"/><Relationship Type="http://schemas.openxmlformats.org/officeDocument/2006/relationships/hyperlink" Target="https://su10.bitrix24.ru/workgroups/group/125/tasks/task/view/26575/" TargetMode="External" Id="rId34"/><Relationship Type="http://schemas.openxmlformats.org/officeDocument/2006/relationships/hyperlink" Target="https://su10.bitrix24.ru/company/personal/user/947/tasks/task/view/29247/" TargetMode="External" Id="rId35"/><Relationship Type="http://schemas.openxmlformats.org/officeDocument/2006/relationships/hyperlink" Target="https://su10.bitrix24.ru/company/personal/user/947/tasks/task/view/30973/" TargetMode="External" Id="rId36"/><Relationship Type="http://schemas.openxmlformats.org/officeDocument/2006/relationships/hyperlink" Target="https://su10.bitrix24.ru/workgroups/group/125/tasks/task/view/33425/" TargetMode="External" Id="rId37"/><Relationship Type="http://schemas.openxmlformats.org/officeDocument/2006/relationships/hyperlink" Target="https://su10.bitrix24.ru/company/personal/user/677/tasks/task/view/34249/" TargetMode="External" Id="rId38"/><Relationship Type="http://schemas.openxmlformats.org/officeDocument/2006/relationships/hyperlink" Target="https://su10.bitrix24.ru/workgroups/group/125/tasks/task/view/23739/" TargetMode="External" Id="rId39"/><Relationship Type="http://schemas.openxmlformats.org/officeDocument/2006/relationships/hyperlink" Target="https://su10.bitrix24.ru/workgroups/group/125/tasks/task/view/24733/" TargetMode="External" Id="rId40"/><Relationship Type="http://schemas.openxmlformats.org/officeDocument/2006/relationships/hyperlink" Target="https://su10.bitrix24.ru/workgroups/group/125/tasks/task/view/26379/" TargetMode="External" Id="rId41"/><Relationship Type="http://schemas.openxmlformats.org/officeDocument/2006/relationships/hyperlink" Target="https://su10.bitrix24.ru/company/personal/user/947/tasks/task/view/27027/" TargetMode="External" Id="rId42"/><Relationship Type="http://schemas.openxmlformats.org/officeDocument/2006/relationships/hyperlink" Target="https://su10.bitrix24.ru/company/personal/user/947/tasks/task/view/30979/" TargetMode="External" Id="rId43"/><Relationship Type="http://schemas.openxmlformats.org/officeDocument/2006/relationships/hyperlink" Target="https://su10.bitrix24.ru/workgroups/group/125/tasks/task/view/33429/" TargetMode="External" Id="rId44"/><Relationship Type="http://schemas.openxmlformats.org/officeDocument/2006/relationships/hyperlink" Target="https://su10.bitrix24.ru/workgroups/group/125/tasks/task/view/33649/" TargetMode="External" Id="rId45"/><Relationship Type="http://schemas.openxmlformats.org/officeDocument/2006/relationships/hyperlink" Target="https://su10.bitrix24.ru/company/personal/user/947/tasks/task/view/27981/" TargetMode="External" Id="rId46"/><Relationship Type="http://schemas.openxmlformats.org/officeDocument/2006/relationships/hyperlink" Target="https://su10.bitrix24.ru/workgroups/group/125/tasks/task/view/33035/" TargetMode="External" Id="rId47"/><Relationship Type="http://schemas.openxmlformats.org/officeDocument/2006/relationships/hyperlink" Target="https://su10.bitrix24.ru/company/personal/user/947/tasks/task/view/27989/" TargetMode="External" Id="rId48"/><Relationship Type="http://schemas.openxmlformats.org/officeDocument/2006/relationships/hyperlink" Target="https://su10.bitrix24.ru/workgroups/group/125/tasks/task/view/32965/" TargetMode="External" Id="rId49"/><Relationship Type="http://schemas.openxmlformats.org/officeDocument/2006/relationships/hyperlink" Target="https://su10.bitrix24.ru/company/personal/user/947/tasks/task/view/27993/" TargetMode="External" Id="rId50"/><Relationship Type="http://schemas.openxmlformats.org/officeDocument/2006/relationships/hyperlink" Target="https://su10.bitrix24.ru/workgroups/group/125/tasks/task/view/33021/" TargetMode="External" Id="rId51"/><Relationship Type="http://schemas.openxmlformats.org/officeDocument/2006/relationships/hyperlink" Target="https://su10.bitrix24.ru/workgroups/group/125/tasks/task/view/32859/" TargetMode="External" Id="rId52"/><Relationship Type="http://schemas.openxmlformats.org/officeDocument/2006/relationships/hyperlink" Target="https://su10.bitrix24.ru/workgroups/group/125/tasks/task/view/32949/" TargetMode="External" Id="rId53"/><Relationship Type="http://schemas.openxmlformats.org/officeDocument/2006/relationships/hyperlink" Target="https://su10.bitrix24.ru/company/personal/user/677/tasks/task/view/34333/" TargetMode="External" Id="rId54"/><Relationship Type="http://schemas.openxmlformats.org/officeDocument/2006/relationships/hyperlink" Target="https://su10.bitrix24.ru/company/personal/user/677/tasks/task/view/34635/" TargetMode="External" Id="rId55"/><Relationship Type="http://schemas.openxmlformats.org/officeDocument/2006/relationships/hyperlink" Target="https://su10.bitrix24.ru/company/personal/user/947/tasks/task/view/28449/" TargetMode="External" Id="rId56"/><Relationship Type="http://schemas.openxmlformats.org/officeDocument/2006/relationships/hyperlink" Target="https://su10.bitrix24.ru/company/personal/user/947/tasks/task/view/30959/" TargetMode="External" Id="rId57"/><Relationship Type="http://schemas.openxmlformats.org/officeDocument/2006/relationships/hyperlink" Target="https://su10.bitrix24.ru/workgroups/group/125/tasks/task/view/33439/" TargetMode="External" Id="rId58"/><Relationship Type="http://schemas.openxmlformats.org/officeDocument/2006/relationships/hyperlink" Target="https://su10.bitrix24.ru/company/personal/user/677/tasks/task/view/34967/" TargetMode="External" Id="rId59"/><Relationship Type="http://schemas.openxmlformats.org/officeDocument/2006/relationships/hyperlink" Target="https://su10.bitrix24.ru/workgroups/group/125/tasks/task/view/23735/" TargetMode="External" Id="rId60"/><Relationship Type="http://schemas.openxmlformats.org/officeDocument/2006/relationships/hyperlink" Target="https://su10.bitrix24.ru/company/personal/user/947/tasks/task/view/27139/" TargetMode="External" Id="rId61"/><Relationship Type="http://schemas.openxmlformats.org/officeDocument/2006/relationships/hyperlink" Target="https://su10.bitrix24.ru/company/personal/user/947/tasks/task/view/27975/" TargetMode="External" Id="rId62"/><Relationship Type="http://schemas.openxmlformats.org/officeDocument/2006/relationships/hyperlink" Target="https://su10.bitrix24.ru/company/personal/user/947/tasks/task/view/29109/" TargetMode="External" Id="rId63"/><Relationship Type="http://schemas.openxmlformats.org/officeDocument/2006/relationships/hyperlink" Target="https://su10.bitrix24.ru/workgroups/group/125/tasks/task/view/32873/" TargetMode="External" Id="rId64"/><Relationship Type="http://schemas.openxmlformats.org/officeDocument/2006/relationships/hyperlink" Target="https://su10.bitrix24.ru/workgroups/group/125/tasks/task/view/33443/" TargetMode="External" Id="rId6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3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20.5" customWidth="1" style="1227" min="2" max="2"/>
    <col width="29.75" customWidth="1" style="1227" min="3" max="3"/>
    <col width="22.75" customWidth="1" style="1227" min="4" max="4"/>
    <col width="16" customWidth="1" style="1227" min="5" max="5"/>
    <col width="25.38" customWidth="1" style="1227" min="7" max="7"/>
  </cols>
  <sheetData>
    <row r="1">
      <c r="A1" s="393" t="n"/>
      <c r="B1" s="393" t="n"/>
      <c r="C1" s="393" t="n"/>
      <c r="D1" s="393" t="n"/>
      <c r="E1" s="2" t="n"/>
      <c r="F1" s="3" t="n"/>
      <c r="G1" s="927" t="n"/>
      <c r="H1" s="727" t="inlineStr">
        <is>
          <t>Стадии Выполнения</t>
        </is>
      </c>
      <c r="I1" s="1228" t="inlineStr">
        <is>
          <t>Данные на проверке (Заполняется когда не создана смета в 1С)</t>
        </is>
      </c>
      <c r="J1" s="1229" t="n"/>
      <c r="K1" s="297" t="inlineStr">
        <is>
          <t>Данные заполнены по предварительному расчету(заполняется когда смета в 1С создана по предварительной проверке РД)</t>
        </is>
      </c>
      <c r="L1" s="1229" t="n"/>
      <c r="M1" s="1001" t="inlineStr">
        <is>
          <t>Данные заполнены по фактическому пересчету и внесены в смету(заполняется когда смета 1С актуализирована по фактическому просчету)</t>
        </is>
      </c>
      <c r="N1" s="12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</row>
    <row r="2">
      <c r="A2" s="393" t="n"/>
      <c r="B2" s="393" t="n"/>
      <c r="C2" s="393" t="n"/>
      <c r="D2" s="393" t="n"/>
      <c r="E2" s="393" t="n"/>
      <c r="F2" s="11" t="n"/>
      <c r="G2" s="11" t="n"/>
      <c r="H2" s="1230" t="inlineStr">
        <is>
          <t>Версия по которой внесены данные со ссылкой на задачу</t>
        </is>
      </c>
      <c r="I2" s="1231" t="n"/>
      <c r="J2" s="1231" t="n"/>
      <c r="K2" s="1231" t="n"/>
      <c r="L2" s="1231" t="n"/>
      <c r="M2" s="1231" t="n"/>
      <c r="N2" s="12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</row>
    <row r="3">
      <c r="A3" s="16" t="inlineStr">
        <is>
          <t>№ п/п</t>
        </is>
      </c>
      <c r="B3" s="15" t="inlineStr">
        <is>
          <t>Шифр документации</t>
        </is>
      </c>
      <c r="C3" s="15" t="inlineStr">
        <is>
          <t>Наименование сметы</t>
        </is>
      </c>
      <c r="D3" s="16" t="inlineStr">
        <is>
          <t>Ссылка на расчет</t>
        </is>
      </c>
      <c r="E3" s="16" t="inlineStr">
        <is>
          <t>Статус расчёта</t>
        </is>
      </c>
      <c r="F3" s="17" t="inlineStr">
        <is>
          <t>Версия ВОР (дата из РД)</t>
        </is>
      </c>
      <c r="G3" s="17" t="inlineStr">
        <is>
          <t>Примечание к ВОР</t>
        </is>
      </c>
      <c r="H3" s="686" t="n">
        <v>1</v>
      </c>
      <c r="I3" s="686" t="n">
        <v>2</v>
      </c>
      <c r="J3" s="686" t="n">
        <v>3</v>
      </c>
      <c r="K3" s="686" t="n">
        <v>4</v>
      </c>
      <c r="L3" s="686" t="n">
        <v>5</v>
      </c>
      <c r="M3" s="686" t="n">
        <v>6</v>
      </c>
      <c r="N3" s="1007" t="n">
        <v>7</v>
      </c>
      <c r="O3" s="20" t="n">
        <v>8</v>
      </c>
      <c r="P3" s="20" t="n">
        <v>9</v>
      </c>
      <c r="Q3" s="20" t="n">
        <v>10</v>
      </c>
      <c r="R3" s="20" t="n">
        <v>11</v>
      </c>
      <c r="S3" s="20" t="n">
        <v>12</v>
      </c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</row>
    <row r="4">
      <c r="A4" s="27" t="n"/>
      <c r="B4" s="24" t="n"/>
      <c r="C4" s="23" t="inlineStr">
        <is>
          <t>КЛАДКА</t>
        </is>
      </c>
      <c r="D4" s="24" t="n"/>
      <c r="E4" s="25" t="n"/>
      <c r="F4" s="26" t="n"/>
      <c r="G4" s="27" t="n"/>
      <c r="H4" s="27" t="n"/>
      <c r="I4" s="27" t="n"/>
      <c r="J4" s="27" t="n"/>
      <c r="K4" s="27" t="n"/>
      <c r="L4" s="27" t="n"/>
      <c r="M4" s="27" t="n"/>
      <c r="N4" s="27" t="n"/>
      <c r="O4" s="28" t="n"/>
      <c r="P4" s="28" t="n"/>
      <c r="Q4" s="28" t="n"/>
      <c r="R4" s="28" t="n"/>
      <c r="S4" s="28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</row>
    <row r="5">
      <c r="A5" s="86" t="n">
        <v>1</v>
      </c>
      <c r="B5" s="33" t="inlineStr">
        <is>
          <t>13АВ-РД-АР1.1-К1</t>
        </is>
      </c>
      <c r="C5" s="862" t="inlineStr">
        <is>
          <t>Корпус 1. Архитектурные решения. Кладочные планы</t>
        </is>
      </c>
      <c r="D5" s="33" t="n"/>
      <c r="E5" s="67" t="inlineStr">
        <is>
          <t>НОВАЯ РД</t>
        </is>
      </c>
      <c r="F5" s="35" t="n"/>
      <c r="G5" s="94" t="n"/>
      <c r="H5" s="37" t="inlineStr">
        <is>
          <t>https://su10.bitrix24.ru/company/personal/user/947/tasks/task/view/29449/</t>
        </is>
      </c>
      <c r="I5" s="38" t="n">
        <v>46142</v>
      </c>
      <c r="J5" s="421" t="n"/>
      <c r="K5" s="421" t="n"/>
      <c r="L5" s="421" t="n"/>
      <c r="M5" s="421" t="n"/>
      <c r="N5" s="421" t="n"/>
      <c r="O5" s="64" t="n"/>
      <c r="P5" s="64" t="n"/>
      <c r="Q5" s="64" t="n"/>
      <c r="R5" s="64" t="n"/>
      <c r="S5" s="64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</row>
    <row r="6">
      <c r="A6" s="86" t="n">
        <v>2</v>
      </c>
      <c r="B6" s="33" t="inlineStr">
        <is>
          <t>13АВ-РД-АР1.1-К2</t>
        </is>
      </c>
      <c r="C6" s="862" t="inlineStr">
        <is>
          <t>Корпус 2. Архитектурные решения. Кладочные планы</t>
        </is>
      </c>
      <c r="D6" s="33" t="n"/>
      <c r="E6" s="67" t="inlineStr">
        <is>
          <t>НОВАЯ РД</t>
        </is>
      </c>
      <c r="F6" s="35" t="n"/>
      <c r="G6" s="94" t="n"/>
      <c r="H6" s="37" t="inlineStr">
        <is>
          <t>https://su10.bitrix24.ru/company/personal/user/947/tasks/task/view/29245/</t>
        </is>
      </c>
      <c r="I6" s="38" t="n">
        <v>46163</v>
      </c>
      <c r="J6" s="421" t="n"/>
      <c r="K6" s="421" t="n"/>
      <c r="L6" s="421" t="n"/>
      <c r="M6" s="421" t="n"/>
      <c r="N6" s="421" t="n"/>
      <c r="O6" s="64" t="n"/>
      <c r="P6" s="64" t="n"/>
      <c r="Q6" s="64" t="n"/>
      <c r="R6" s="64" t="n"/>
      <c r="S6" s="64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</row>
    <row r="7">
      <c r="A7" s="86" t="n">
        <v>3</v>
      </c>
      <c r="B7" s="33" t="inlineStr">
        <is>
          <t>13АВ-РД-АР1.1-К3</t>
        </is>
      </c>
      <c r="C7" s="862" t="inlineStr">
        <is>
          <t>Корпус 3. Архитектурные решения. Кладочные планы</t>
        </is>
      </c>
      <c r="D7" s="42" t="inlineStr">
        <is>
          <t>Корпус 3 кладка НЧ</t>
        </is>
      </c>
      <c r="E7" s="358" t="inlineStr">
        <is>
          <t>Проверка изма</t>
        </is>
      </c>
      <c r="F7" s="35" t="n"/>
      <c r="G7" s="94" t="n"/>
      <c r="H7" s="44" t="inlineStr">
        <is>
          <t>https://su10.bitrix24.ru/workgroups/group/125/tasks/task/view/22973/</t>
        </is>
      </c>
      <c r="I7" s="37" t="inlineStr">
        <is>
          <t>https://su10.bitrix24.ru/workgroups/group/125/tasks/task/view/23359/</t>
        </is>
      </c>
      <c r="J7" s="37" t="inlineStr">
        <is>
          <t>https://su10.bitrix24.ru/workgroups/group/125/tasks/task/view/24751/</t>
        </is>
      </c>
      <c r="K7" s="37" t="inlineStr">
        <is>
          <t>https://su10.bitrix24.ru/workgroups/group/125/tasks/task/view/24753/</t>
        </is>
      </c>
      <c r="L7" s="37" t="inlineStr">
        <is>
          <t>https://su10.bitrix24.ru/workgroups/group/125/tasks/task/view/24755/</t>
        </is>
      </c>
      <c r="M7" s="37" t="inlineStr">
        <is>
          <t>https://su10.bitrix24.ru/workgroups/group/125/tasks/task/view/26371/</t>
        </is>
      </c>
      <c r="N7" s="37" t="inlineStr">
        <is>
          <t>https://su10.bitrix24.ru/company/personal/user/947/tasks/task/view/26947/</t>
        </is>
      </c>
      <c r="O7" s="45" t="inlineStr">
        <is>
          <t>https://su10.bitrix24.ru/company/personal/user/947/tasks/task/view/30977/</t>
        </is>
      </c>
      <c r="P7" s="38" t="n">
        <v>46176</v>
      </c>
      <c r="Q7" s="38" t="n">
        <v>46192</v>
      </c>
      <c r="R7" s="64" t="n"/>
      <c r="S7" s="64" t="n"/>
      <c r="T7" s="29" t="inlineStr">
        <is>
          <t>передан расчет предпредпоследней версии</t>
        </is>
      </c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</row>
    <row r="8">
      <c r="A8" s="86" t="n">
        <v>4</v>
      </c>
      <c r="B8" s="33" t="inlineStr">
        <is>
          <t>13АВ-РД-АР1.1-К4</t>
        </is>
      </c>
      <c r="C8" s="862" t="inlineStr">
        <is>
          <t>Корпус 4. Архитектурные решения. Кладочные планы</t>
        </is>
      </c>
      <c r="D8" s="46" t="inlineStr">
        <is>
          <t>Корпус 4 кладка НЧ</t>
        </is>
      </c>
      <c r="E8" s="358" t="inlineStr">
        <is>
          <t>Проверка изма</t>
        </is>
      </c>
      <c r="F8" s="35" t="n"/>
      <c r="G8" s="94" t="n"/>
      <c r="H8" s="47" t="inlineStr">
        <is>
          <t>https://su10.bitrix24.ru/workgroups/group/125/tasks/task/view/20131/</t>
        </is>
      </c>
      <c r="I8" s="37" t="inlineStr">
        <is>
          <t>https://su10.bitrix24.ru/company/personal/user/947/tasks/task/view/21133/</t>
        </is>
      </c>
      <c r="J8" s="48" t="inlineStr">
        <is>
          <t>https://su10.bitrix24.ru/workgroups/group/125/tasks/task/view/21445/</t>
        </is>
      </c>
      <c r="K8" s="49" t="inlineStr">
        <is>
          <t>https://su10.bitrix24.ru/workgroups/group/125/tasks/task/view/22695/</t>
        </is>
      </c>
      <c r="L8" s="48" t="inlineStr">
        <is>
          <t>https://su10.bitrix24.ru/workgroups/group/125/tasks/task/view/23355/</t>
        </is>
      </c>
      <c r="M8" s="37" t="inlineStr">
        <is>
          <t>https://su10.bitrix24.ru/workgroups/group/125/tasks/task/view/23825/</t>
        </is>
      </c>
      <c r="N8" s="44" t="inlineStr">
        <is>
          <t>https://su10.bitrix24.ru/workgroups/group/125/tasks/task/view/25271/</t>
        </is>
      </c>
      <c r="O8" s="50" t="inlineStr">
        <is>
          <t>https://su10.bitrix24.ru/company/personal/user/947/tasks/task/view/29865/</t>
        </is>
      </c>
      <c r="P8" s="38" t="n">
        <v>46141</v>
      </c>
      <c r="Q8" s="38" t="n">
        <v>46174</v>
      </c>
      <c r="R8" s="38" t="n">
        <v>46192</v>
      </c>
      <c r="S8" s="64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</row>
    <row r="9">
      <c r="A9" s="86" t="n">
        <v>5</v>
      </c>
      <c r="B9" s="33" t="inlineStr">
        <is>
          <t>13АВ-РД-АР1.1-К5</t>
        </is>
      </c>
      <c r="C9" s="33" t="inlineStr">
        <is>
          <t>Корпус 5. Архитектурные решения. Кладочные планы</t>
        </is>
      </c>
      <c r="D9" s="51" t="inlineStr">
        <is>
          <t>Корпус 5. Кладка НЧ</t>
        </is>
      </c>
      <c r="E9" s="358" t="inlineStr">
        <is>
          <t>Проверка изма</t>
        </is>
      </c>
      <c r="F9" s="52" t="n"/>
      <c r="G9" s="53" t="n"/>
      <c r="H9" s="48" t="inlineStr">
        <is>
          <t>https://su10.bitrix24.ru/workgroups/group/125/tasks/task/view/20137/</t>
        </is>
      </c>
      <c r="I9" s="54" t="inlineStr">
        <is>
          <t>https://su10.bitrix24.ru/company/personal/user/947/tasks/task/view/21135/</t>
        </is>
      </c>
      <c r="J9" s="48" t="inlineStr">
        <is>
          <t>https://su10.bitrix24.ru/workgroups/group/125/tasks/task/view/21447/</t>
        </is>
      </c>
      <c r="K9" s="49" t="inlineStr">
        <is>
          <t>https://su10.bitrix24.ru/workgroups/group/125/tasks/task/view/22425/</t>
        </is>
      </c>
      <c r="L9" s="48" t="inlineStr">
        <is>
          <t>https://su10.bitrix24.ru/company/personal/user/947/tasks/task/view/22983/</t>
        </is>
      </c>
      <c r="M9" s="49" t="inlineStr">
        <is>
          <t>https://su10.bitrix24.ru/company/personal/user/969/tasks/task/view/23149/</t>
        </is>
      </c>
      <c r="N9" s="48" t="inlineStr">
        <is>
          <t>https://su10.bitrix24.ru/workgroups/group/125/tasks/task/view/23823/</t>
        </is>
      </c>
      <c r="O9" s="55" t="inlineStr">
        <is>
          <t>https://su10.bitrix24.ru/workgroups/group/125/tasks/task/view/26575/</t>
        </is>
      </c>
      <c r="P9" s="50" t="inlineStr">
        <is>
          <t>https://su10.bitrix24.ru/company/personal/user/947/tasks/task/view/29247/</t>
        </is>
      </c>
      <c r="Q9" s="50" t="inlineStr">
        <is>
          <t>https://su10.bitrix24.ru/company/personal/user/947/tasks/task/view/30973/</t>
        </is>
      </c>
      <c r="R9" s="56" t="n">
        <v>46169</v>
      </c>
      <c r="S9" s="57" t="n">
        <v>46190</v>
      </c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</row>
    <row r="10">
      <c r="A10" s="86" t="n">
        <v>6</v>
      </c>
      <c r="B10" s="33" t="inlineStr">
        <is>
          <t>13АВ-РД-АР1.1-К6</t>
        </is>
      </c>
      <c r="C10" s="862" t="inlineStr">
        <is>
          <t>Корпус 6. Архитектурные решения. Кладочные планы</t>
        </is>
      </c>
      <c r="D10" s="46" t="inlineStr">
        <is>
          <t>Корпус 6 кладка НЧ</t>
        </is>
      </c>
      <c r="E10" s="358" t="inlineStr">
        <is>
          <t>Проверка изма</t>
        </is>
      </c>
      <c r="F10" s="35" t="n"/>
      <c r="G10" s="94" t="n"/>
      <c r="H10" s="44" t="inlineStr">
        <is>
          <t>https://su10.bitrix24.ru/workgroups/group/125/tasks/task/view/23739/</t>
        </is>
      </c>
      <c r="I10" s="37" t="inlineStr">
        <is>
          <t>https://su10.bitrix24.ru/workgroups/group/125/tasks/task/view/24733/</t>
        </is>
      </c>
      <c r="J10" s="37" t="inlineStr">
        <is>
          <t>https://su10.bitrix24.ru/workgroups/group/125/tasks/task/view/26379/</t>
        </is>
      </c>
      <c r="K10" s="37" t="inlineStr">
        <is>
          <t>https://su10.bitrix24.ru/company/personal/user/947/tasks/task/view/27027/</t>
        </is>
      </c>
      <c r="L10" s="37" t="inlineStr">
        <is>
          <t>https://su10.bitrix24.ru/company/personal/user/947/tasks/task/view/30979/</t>
        </is>
      </c>
      <c r="M10" s="58" t="n">
        <v>46176</v>
      </c>
      <c r="N10" s="381" t="n"/>
      <c r="O10" s="64" t="n"/>
      <c r="P10" s="64" t="n"/>
      <c r="Q10" s="64" t="n"/>
      <c r="R10" s="64" t="n"/>
      <c r="S10" s="64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</row>
    <row r="11">
      <c r="A11" s="86" t="n">
        <v>7</v>
      </c>
      <c r="B11" s="862" t="inlineStr">
        <is>
          <t>13АВ-РД-АР1.1-К1К2</t>
        </is>
      </c>
      <c r="C11" s="33" t="inlineStr">
        <is>
          <t>Архитектурные решения. Маркировочные планы. Встроенно-пристроенные помещения между корпусом 1 и 2</t>
        </is>
      </c>
      <c r="D11" s="64" t="n"/>
      <c r="E11" s="67" t="inlineStr">
        <is>
          <t>НОВАЯ РД</t>
        </is>
      </c>
      <c r="F11" s="35" t="n"/>
      <c r="G11" s="94" t="n"/>
      <c r="H11" s="56" t="n">
        <v>46176</v>
      </c>
      <c r="I11" s="60" t="n"/>
      <c r="J11" s="94" t="n"/>
      <c r="K11" s="421" t="n"/>
      <c r="L11" s="421" t="n"/>
      <c r="M11" s="421" t="n"/>
      <c r="N11" s="421" t="n"/>
      <c r="O11" s="64" t="n"/>
      <c r="P11" s="64" t="n"/>
      <c r="Q11" s="64" t="n"/>
      <c r="R11" s="64" t="n"/>
      <c r="S11" s="64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</row>
    <row r="12">
      <c r="A12" s="86" t="n">
        <v>8</v>
      </c>
      <c r="B12" s="862" t="inlineStr">
        <is>
          <t>13АВ-РД-АР1.1-К3К4</t>
        </is>
      </c>
      <c r="C12" s="862" t="inlineStr">
        <is>
          <t>Архитектурные решения. Кладочные планы. Встроенно-пристроенные помещения между корпусом 3 и 4</t>
        </is>
      </c>
      <c r="D12" s="862" t="n"/>
      <c r="E12" s="67" t="inlineStr">
        <is>
          <t>НОВАЯ РД</t>
        </is>
      </c>
      <c r="F12" s="35" t="n"/>
      <c r="G12" s="94" t="n"/>
      <c r="H12" s="37" t="inlineStr">
        <is>
          <t>https://su10.bitrix24.ru/company/personal/user/947/tasks/task/view/27981/</t>
        </is>
      </c>
      <c r="I12" s="58" t="n">
        <v>46140</v>
      </c>
      <c r="J12" s="358" t="n"/>
      <c r="K12" s="358" t="n"/>
      <c r="L12" s="358" t="n"/>
      <c r="M12" s="358" t="n"/>
      <c r="N12" s="381" t="n"/>
      <c r="O12" s="64" t="n"/>
      <c r="P12" s="64" t="n"/>
      <c r="Q12" s="64" t="n"/>
      <c r="R12" s="64" t="n"/>
      <c r="S12" s="64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</row>
    <row r="13">
      <c r="A13" s="86" t="n">
        <v>9</v>
      </c>
      <c r="B13" s="862" t="inlineStr">
        <is>
          <t>13АВ-РД-АР1.1-К4К5</t>
        </is>
      </c>
      <c r="C13" s="862" t="inlineStr">
        <is>
          <t>Архитектурные решения. Кладочные планы. Встроенно-пристроенные помещения между корпусом 4 и 5</t>
        </is>
      </c>
      <c r="D13" s="862" t="n"/>
      <c r="E13" s="67" t="inlineStr">
        <is>
          <t>НОВАЯ РД</t>
        </is>
      </c>
      <c r="F13" s="35" t="n"/>
      <c r="G13" s="94" t="n"/>
      <c r="H13" s="37" t="inlineStr">
        <is>
          <t>https://su10.bitrix24.ru/company/personal/user/947/tasks/task/view/27989/</t>
        </is>
      </c>
      <c r="I13" s="58" t="n">
        <v>46140</v>
      </c>
      <c r="J13" s="358" t="n"/>
      <c r="K13" s="358" t="n"/>
      <c r="L13" s="358" t="n"/>
      <c r="M13" s="358" t="n"/>
      <c r="N13" s="381" t="n"/>
      <c r="O13" s="64" t="n"/>
      <c r="P13" s="64" t="n"/>
      <c r="Q13" s="64" t="n"/>
      <c r="R13" s="64" t="n"/>
      <c r="S13" s="64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</row>
    <row r="14">
      <c r="A14" s="86" t="n">
        <v>10</v>
      </c>
      <c r="B14" s="862" t="inlineStr">
        <is>
          <t>13АВ-РД-АР1.1-К5К6</t>
        </is>
      </c>
      <c r="C14" s="862" t="inlineStr">
        <is>
          <t>Архитектурные решения. Кладочные планы. Встроенно-пристроенные помещения между корпусом 5 и 6</t>
        </is>
      </c>
      <c r="D14" s="862" t="n"/>
      <c r="E14" s="67" t="inlineStr">
        <is>
          <t>НОВАЯ РД</t>
        </is>
      </c>
      <c r="F14" s="35" t="n"/>
      <c r="G14" s="94" t="n"/>
      <c r="H14" s="37" t="inlineStr">
        <is>
          <t>https://su10.bitrix24.ru/company/personal/user/947/tasks/task/view/27993/</t>
        </is>
      </c>
      <c r="I14" s="58" t="n">
        <v>46142</v>
      </c>
      <c r="J14" s="358" t="n"/>
      <c r="K14" s="358" t="n"/>
      <c r="L14" s="358" t="n"/>
      <c r="M14" s="358" t="n"/>
      <c r="N14" s="381" t="n"/>
      <c r="O14" s="64" t="n"/>
      <c r="P14" s="64" t="n"/>
      <c r="Q14" s="64" t="n"/>
      <c r="R14" s="64" t="n"/>
      <c r="S14" s="64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</row>
    <row r="15">
      <c r="A15" s="86" t="n">
        <v>11</v>
      </c>
      <c r="B15" s="33" t="inlineStr">
        <is>
          <t>13АВ-РД-АР1.1-К7</t>
        </is>
      </c>
      <c r="C15" s="33" t="inlineStr">
        <is>
          <t>Корпус 7. Архитектурные решения. Кладочные планы</t>
        </is>
      </c>
      <c r="D15" s="862" t="n"/>
      <c r="E15" s="67" t="inlineStr">
        <is>
          <t>НОВАЯ РД</t>
        </is>
      </c>
      <c r="F15" s="35" t="n"/>
      <c r="G15" s="94" t="n"/>
      <c r="H15" s="56" t="n">
        <v>46156</v>
      </c>
      <c r="I15" s="358" t="n"/>
      <c r="J15" s="358" t="n"/>
      <c r="K15" s="358" t="n"/>
      <c r="L15" s="358" t="n"/>
      <c r="M15" s="358" t="n"/>
      <c r="N15" s="381" t="n"/>
      <c r="O15" s="64" t="n"/>
      <c r="P15" s="64" t="n"/>
      <c r="Q15" s="64" t="n"/>
      <c r="R15" s="64" t="n"/>
      <c r="S15" s="64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</row>
    <row r="16">
      <c r="A16" s="86" t="n">
        <v>12</v>
      </c>
      <c r="B16" s="33" t="inlineStr">
        <is>
          <t>13АВ-РД-АР1.1-ПА</t>
        </is>
      </c>
      <c r="C16" s="33" t="inlineStr">
        <is>
          <t>Архитектурные решения. Кладочные планы 1-х этажей</t>
        </is>
      </c>
      <c r="D16" s="862" t="n"/>
      <c r="E16" s="67" t="inlineStr">
        <is>
          <t>НОВАЯ РД</t>
        </is>
      </c>
      <c r="F16" s="35" t="n"/>
      <c r="G16" s="94" t="n"/>
      <c r="H16" s="56" t="n">
        <v>46161</v>
      </c>
      <c r="I16" s="58" t="n">
        <v>46195</v>
      </c>
      <c r="J16" s="58" t="n">
        <v>46202</v>
      </c>
      <c r="K16" s="358" t="n"/>
      <c r="L16" s="358" t="n"/>
      <c r="M16" s="358" t="n"/>
      <c r="N16" s="381" t="n"/>
      <c r="O16" s="64" t="n"/>
      <c r="P16" s="64" t="n"/>
      <c r="Q16" s="64" t="n"/>
      <c r="R16" s="64" t="n"/>
      <c r="S16" s="64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</row>
    <row r="17">
      <c r="A17" s="86" t="n">
        <v>13</v>
      </c>
      <c r="B17" s="862" t="inlineStr">
        <is>
          <t>13АВ-РД-АР0.1-ПА</t>
        </is>
      </c>
      <c r="C17" s="862" t="inlineStr">
        <is>
          <t>Архитектурные решения. Кладочные планы. Подземная автостоянка в осях П.1-П.24</t>
        </is>
      </c>
      <c r="D17" s="862" t="n"/>
      <c r="E17" s="67" t="inlineStr">
        <is>
          <t>НОВАЯ РД</t>
        </is>
      </c>
      <c r="F17" s="35" t="n"/>
      <c r="G17" s="94" t="n"/>
      <c r="H17" s="37" t="inlineStr">
        <is>
          <t>https://su10.bitrix24.ru/company/personal/user/947/tasks/task/view/28449/</t>
        </is>
      </c>
      <c r="I17" s="37" t="inlineStr">
        <is>
          <t>https://su10.bitrix24.ru/company/personal/user/947/tasks/task/view/30959/</t>
        </is>
      </c>
      <c r="J17" s="58" t="n">
        <v>46169</v>
      </c>
      <c r="K17" s="58" t="n">
        <v>46209</v>
      </c>
      <c r="L17" s="358" t="n"/>
      <c r="M17" s="358" t="n"/>
      <c r="N17" s="381" t="n"/>
      <c r="O17" s="64" t="n"/>
      <c r="P17" s="64" t="n"/>
      <c r="Q17" s="64" t="n"/>
      <c r="R17" s="64" t="n"/>
      <c r="S17" s="64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</row>
    <row r="18">
      <c r="A18" s="86" t="n">
        <v>14</v>
      </c>
      <c r="B18" s="862" t="inlineStr">
        <is>
          <t>13АВ-РД-АР0.3-ПА</t>
        </is>
      </c>
      <c r="C18" s="862" t="inlineStr">
        <is>
          <t>Архитектурные решения. Кладочные планы. Подземная автостоянка в осях П.24-П.48</t>
        </is>
      </c>
      <c r="D18" s="63" t="inlineStr">
        <is>
          <t>Кладка ПЧ в/о П24-П48</t>
        </is>
      </c>
      <c r="E18" s="358" t="inlineStr">
        <is>
          <t>проверка изма</t>
        </is>
      </c>
      <c r="F18" s="35" t="n"/>
      <c r="G18" s="94" t="n"/>
      <c r="H18" s="44" t="inlineStr">
        <is>
          <t>https://su10.bitrix24.ru/workgroups/group/125/tasks/task/view/23735/</t>
        </is>
      </c>
      <c r="I18" s="37" t="inlineStr">
        <is>
          <t>https://su10.bitrix24.ru/company/personal/user/947/tasks/task/view/27139/</t>
        </is>
      </c>
      <c r="J18" s="37" t="inlineStr">
        <is>
          <t>https://su10.bitrix24.ru/company/personal/user/947/tasks/task/view/27975/</t>
        </is>
      </c>
      <c r="K18" s="37" t="inlineStr">
        <is>
          <t>https://su10.bitrix24.ru/company/personal/user/947/tasks/task/view/29109/</t>
        </is>
      </c>
      <c r="L18" s="38" t="n">
        <v>46167</v>
      </c>
      <c r="M18" s="58" t="n">
        <v>46170</v>
      </c>
      <c r="N18" s="381" t="n"/>
      <c r="O18" s="64" t="n"/>
      <c r="P18" s="64" t="n"/>
      <c r="Q18" s="64" t="n"/>
      <c r="R18" s="64" t="n"/>
      <c r="S18" s="64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</row>
    <row r="22"/>
    <row r="23"/>
    <row r="26"/>
    <row r="27"/>
    <row r="29"/>
    <row r="30"/>
    <row r="31"/>
    <row r="32"/>
    <row r="34"/>
    <row r="35"/>
    <row r="36"/>
    <row r="37"/>
  </sheetData>
  <autoFilter ref="$A$1:$S$80"/>
  <mergeCells count="10">
    <mergeCell ref="B36:B37"/>
    <mergeCell ref="B22:B23"/>
    <mergeCell ref="K1:L1"/>
    <mergeCell ref="H2:N2"/>
    <mergeCell ref="B34:B35"/>
    <mergeCell ref="M1:N1"/>
    <mergeCell ref="B26:B27"/>
    <mergeCell ref="I1:J1"/>
    <mergeCell ref="B29:B30"/>
    <mergeCell ref="B31:B32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ref="D7" location="'Корпус 3 кладка НЧ'!A1" display="Корпус 3 кладка НЧ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J7" r:id="rId7"/>
    <hyperlink xmlns:r="http://schemas.openxmlformats.org/officeDocument/2006/relationships" ref="K7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P7" r:id="rId13"/>
    <hyperlink xmlns:r="http://schemas.openxmlformats.org/officeDocument/2006/relationships" ref="Q7" r:id="rId14"/>
    <hyperlink ref="D8" location="'Корпус 4 кладка НЧ'!A1" display="Корпус 4 кладка НЧ"/>
    <hyperlink xmlns:r="http://schemas.openxmlformats.org/officeDocument/2006/relationships" ref="H8" r:id="rId15"/>
    <hyperlink xmlns:r="http://schemas.openxmlformats.org/officeDocument/2006/relationships" ref="I8" r:id="rId16"/>
    <hyperlink xmlns:r="http://schemas.openxmlformats.org/officeDocument/2006/relationships" ref="J8" r:id="rId17"/>
    <hyperlink xmlns:r="http://schemas.openxmlformats.org/officeDocument/2006/relationships" ref="K8" r:id="rId18"/>
    <hyperlink xmlns:r="http://schemas.openxmlformats.org/officeDocument/2006/relationships" ref="L8" r:id="rId19"/>
    <hyperlink xmlns:r="http://schemas.openxmlformats.org/officeDocument/2006/relationships" ref="M8" r:id="rId20"/>
    <hyperlink xmlns:r="http://schemas.openxmlformats.org/officeDocument/2006/relationships" ref="N8" r:id="rId21"/>
    <hyperlink xmlns:r="http://schemas.openxmlformats.org/officeDocument/2006/relationships" ref="O8" r:id="rId22"/>
    <hyperlink xmlns:r="http://schemas.openxmlformats.org/officeDocument/2006/relationships" ref="P8" r:id="rId23"/>
    <hyperlink xmlns:r="http://schemas.openxmlformats.org/officeDocument/2006/relationships" ref="Q8" r:id="rId24"/>
    <hyperlink xmlns:r="http://schemas.openxmlformats.org/officeDocument/2006/relationships" ref="R8" r:id="rId25"/>
    <hyperlink xmlns:r="http://schemas.openxmlformats.org/officeDocument/2006/relationships" ref="D9" location="gid=2133002276" r:id="rId26"/>
    <hyperlink xmlns:r="http://schemas.openxmlformats.org/officeDocument/2006/relationships" ref="H9" r:id="rId27"/>
    <hyperlink xmlns:r="http://schemas.openxmlformats.org/officeDocument/2006/relationships" ref="I9" r:id="rId28"/>
    <hyperlink xmlns:r="http://schemas.openxmlformats.org/officeDocument/2006/relationships" ref="J9" r:id="rId29"/>
    <hyperlink xmlns:r="http://schemas.openxmlformats.org/officeDocument/2006/relationships" ref="K9" r:id="rId30"/>
    <hyperlink xmlns:r="http://schemas.openxmlformats.org/officeDocument/2006/relationships" ref="L9" r:id="rId31"/>
    <hyperlink xmlns:r="http://schemas.openxmlformats.org/officeDocument/2006/relationships" ref="M9" r:id="rId32"/>
    <hyperlink xmlns:r="http://schemas.openxmlformats.org/officeDocument/2006/relationships" ref="N9" r:id="rId33"/>
    <hyperlink xmlns:r="http://schemas.openxmlformats.org/officeDocument/2006/relationships" ref="O9" r:id="rId34"/>
    <hyperlink xmlns:r="http://schemas.openxmlformats.org/officeDocument/2006/relationships" ref="P9" r:id="rId35"/>
    <hyperlink xmlns:r="http://schemas.openxmlformats.org/officeDocument/2006/relationships" ref="Q9" r:id="rId36"/>
    <hyperlink xmlns:r="http://schemas.openxmlformats.org/officeDocument/2006/relationships" ref="R9" r:id="rId37"/>
    <hyperlink xmlns:r="http://schemas.openxmlformats.org/officeDocument/2006/relationships" ref="S9" r:id="rId38"/>
    <hyperlink ref="D10" location="'Корпус 6 кладка НЧ'!A1" display="Корпус 6 кладка НЧ"/>
    <hyperlink xmlns:r="http://schemas.openxmlformats.org/officeDocument/2006/relationships" ref="H10" r:id="rId39"/>
    <hyperlink xmlns:r="http://schemas.openxmlformats.org/officeDocument/2006/relationships" ref="I10" r:id="rId40"/>
    <hyperlink xmlns:r="http://schemas.openxmlformats.org/officeDocument/2006/relationships" ref="J10" r:id="rId41"/>
    <hyperlink xmlns:r="http://schemas.openxmlformats.org/officeDocument/2006/relationships" ref="K10" r:id="rId42"/>
    <hyperlink xmlns:r="http://schemas.openxmlformats.org/officeDocument/2006/relationships" ref="L10" r:id="rId43"/>
    <hyperlink xmlns:r="http://schemas.openxmlformats.org/officeDocument/2006/relationships" ref="M10" r:id="rId44"/>
    <hyperlink xmlns:r="http://schemas.openxmlformats.org/officeDocument/2006/relationships" ref="H11" r:id="rId45"/>
    <hyperlink xmlns:r="http://schemas.openxmlformats.org/officeDocument/2006/relationships" ref="H12" r:id="rId46"/>
    <hyperlink xmlns:r="http://schemas.openxmlformats.org/officeDocument/2006/relationships" ref="I12" r:id="rId47"/>
    <hyperlink xmlns:r="http://schemas.openxmlformats.org/officeDocument/2006/relationships" ref="H13" r:id="rId48"/>
    <hyperlink xmlns:r="http://schemas.openxmlformats.org/officeDocument/2006/relationships" ref="I13" r:id="rId49"/>
    <hyperlink xmlns:r="http://schemas.openxmlformats.org/officeDocument/2006/relationships" ref="H14" r:id="rId50"/>
    <hyperlink xmlns:r="http://schemas.openxmlformats.org/officeDocument/2006/relationships" ref="I14" r:id="rId51"/>
    <hyperlink xmlns:r="http://schemas.openxmlformats.org/officeDocument/2006/relationships" ref="H15" r:id="rId52"/>
    <hyperlink xmlns:r="http://schemas.openxmlformats.org/officeDocument/2006/relationships" ref="H16" r:id="rId53"/>
    <hyperlink xmlns:r="http://schemas.openxmlformats.org/officeDocument/2006/relationships" ref="I16" r:id="rId54"/>
    <hyperlink xmlns:r="http://schemas.openxmlformats.org/officeDocument/2006/relationships" ref="J16" r:id="rId55"/>
    <hyperlink xmlns:r="http://schemas.openxmlformats.org/officeDocument/2006/relationships" ref="H17" r:id="rId56"/>
    <hyperlink xmlns:r="http://schemas.openxmlformats.org/officeDocument/2006/relationships" ref="I17" r:id="rId57"/>
    <hyperlink xmlns:r="http://schemas.openxmlformats.org/officeDocument/2006/relationships" ref="J17" r:id="rId58"/>
    <hyperlink xmlns:r="http://schemas.openxmlformats.org/officeDocument/2006/relationships" ref="K17" r:id="rId59"/>
    <hyperlink ref="D18" location="'Кладка ПЧ во П24-П48'!A1" display="Кладка ПЧ в/о П24-П48"/>
    <hyperlink xmlns:r="http://schemas.openxmlformats.org/officeDocument/2006/relationships" ref="H18" r:id="rId60"/>
    <hyperlink xmlns:r="http://schemas.openxmlformats.org/officeDocument/2006/relationships" ref="I18" r:id="rId61"/>
    <hyperlink xmlns:r="http://schemas.openxmlformats.org/officeDocument/2006/relationships" ref="J18" r:id="rId62"/>
    <hyperlink xmlns:r="http://schemas.openxmlformats.org/officeDocument/2006/relationships" ref="K18" r:id="rId63"/>
    <hyperlink xmlns:r="http://schemas.openxmlformats.org/officeDocument/2006/relationships" ref="L18" r:id="rId64"/>
    <hyperlink xmlns:r="http://schemas.openxmlformats.org/officeDocument/2006/relationships" ref="M18" r:id="rId65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selection activeCell="A1" sqref="A1"/>
    </sheetView>
  </sheetViews>
  <sheetFormatPr baseColWidth="8" defaultRowHeight="15"/>
  <cols>
    <col width="18.88" customWidth="1" style="1227" min="6" max="6"/>
    <col width="16.13" customWidth="1" style="1227" min="8" max="8"/>
    <col width="12.63" customWidth="1" style="1227" min="9" max="9"/>
    <col width="36.5" customWidth="1" style="1227" min="11" max="11"/>
    <col width="12.63" customWidth="1" style="1227" min="15" max="15"/>
    <col width="32.63" customWidth="1" style="1227" min="21" max="21"/>
    <col width="30" customWidth="1" style="1227" min="23" max="23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Облицовка из ГКЛВ (2 слоя) на штатном металокаркасе (27мм)
с заполнением матами по типу "Шумостоп"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0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0" t="inlineStr">
        <is>
          <t>Кол-во на этаже 1 (сверено с ПД floor-1)</t>
        </is>
      </c>
    </row>
    <row r="4">
      <c r="A4" s="346" t="inlineStr">
        <is>
          <t>мат.</t>
        </is>
      </c>
      <c r="B4" s="346" t="inlineStr">
        <is>
          <t>13АВ-РД-АР1.1-К3</t>
        </is>
      </c>
      <c r="C4" s="379" t="n">
        <v>45974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Наружные стены D600 250мм</t>
        </is>
      </c>
      <c r="G4" s="444" t="inlineStr">
        <is>
          <t>Корпус 3</t>
        </is>
      </c>
      <c r="H4" s="349" t="n"/>
      <c r="I4" s="349" t="inlineStr">
        <is>
          <t>м3</t>
        </is>
      </c>
      <c r="J4" s="439" t="n"/>
      <c r="K4" s="351" t="inlineStr">
        <is>
          <t>Газобетонные блоки D600 толщиной 250 мм, ГОСТ 31359-2007</t>
        </is>
      </c>
      <c r="L4" s="349" t="inlineStr">
        <is>
          <t>м3</t>
        </is>
      </c>
      <c r="M4" s="349" t="n">
        <v>423.32</v>
      </c>
      <c r="N4" s="349">
        <f>W4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СН-1.1</t>
        </is>
      </c>
      <c r="V4" s="349" t="n">
        <v>1</v>
      </c>
      <c r="W4" s="0" t="n">
        <v>4.793</v>
      </c>
    </row>
    <row r="5">
      <c r="A5" s="471" t="n"/>
      <c r="B5" s="471" t="inlineStr">
        <is>
          <t>13АВ-РД-АР1.1-К3</t>
        </is>
      </c>
      <c r="C5" s="380" t="n">
        <v>45974</v>
      </c>
      <c r="D5" s="67" t="inlineStr">
        <is>
          <t>Кладка</t>
        </is>
      </c>
      <c r="E5" s="67" t="n"/>
      <c r="F5" s="471" t="inlineStr">
        <is>
          <t>Наружные стены D600 250мм</t>
        </is>
      </c>
      <c r="G5" s="471" t="inlineStr">
        <is>
          <t>Корпус 3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W5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0" t="n">
        <v>0</v>
      </c>
    </row>
    <row r="6">
      <c r="A6" s="375" t="n"/>
      <c r="B6" s="375" t="inlineStr">
        <is>
          <t>13АВ-РД-АР1.1-К3</t>
        </is>
      </c>
      <c r="C6" s="380" t="n">
        <v>45974</v>
      </c>
      <c r="D6" s="358" t="inlineStr">
        <is>
          <t>Кладка</t>
        </is>
      </c>
      <c r="E6" s="360" t="n"/>
      <c r="F6" s="378" t="inlineStr">
        <is>
          <t>Наружные стены D600 250мм</t>
        </is>
      </c>
      <c r="G6" s="378" t="inlineStr">
        <is>
          <t>Корпус 3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W6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СН-1.1 к перекрытию </t>
        </is>
      </c>
      <c r="V6" s="364" t="n">
        <v>1</v>
      </c>
      <c r="W6" s="0" t="n">
        <v>0</v>
      </c>
    </row>
    <row r="7">
      <c r="A7" s="471" t="inlineStr">
        <is>
          <t>мат.</t>
        </is>
      </c>
      <c r="B7" s="471" t="inlineStr">
        <is>
          <t>13АВ-РД-АР1.1-К3</t>
        </is>
      </c>
      <c r="C7" s="380" t="n">
        <v>45974</v>
      </c>
      <c r="D7" s="67" t="inlineStr">
        <is>
          <t>Кладка</t>
        </is>
      </c>
      <c r="E7" s="67" t="inlineStr">
        <is>
          <t>БАЗА</t>
        </is>
      </c>
      <c r="F7" s="471" t="inlineStr">
        <is>
          <t>Металлический каркас с обшивкой плитой по типу Аквапанель</t>
        </is>
      </c>
      <c r="G7" s="471" t="inlineStr">
        <is>
          <t>Корпус 3</t>
        </is>
      </c>
      <c r="H7" s="67" t="n"/>
      <c r="I7" s="67" t="inlineStr">
        <is>
          <t>м3</t>
        </is>
      </c>
      <c r="J7" s="419" t="n"/>
      <c r="K7" s="563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7" s="67" t="inlineStr">
        <is>
          <t>м2</t>
        </is>
      </c>
      <c r="M7" s="67" t="n">
        <v>154.08</v>
      </c>
      <c r="N7" s="67">
        <f>W7</f>
        <v/>
      </c>
      <c r="O7" s="67" t="n"/>
      <c r="P7" s="67" t="n"/>
      <c r="Q7" s="413">
        <f>N7*V7+P7</f>
        <v/>
      </c>
      <c r="R7" s="67" t="inlineStr">
        <is>
          <t>м2</t>
        </is>
      </c>
      <c r="S7" s="67" t="n"/>
      <c r="T7" s="67" t="n"/>
      <c r="U7" s="67" t="inlineStr">
        <is>
          <t>СН-2.1</t>
        </is>
      </c>
      <c r="V7" s="67" t="n">
        <v>1</v>
      </c>
      <c r="W7" s="0" t="n">
        <v>0</v>
      </c>
    </row>
    <row r="8">
      <c r="A8" s="346" t="inlineStr">
        <is>
          <t>мат.</t>
        </is>
      </c>
      <c r="B8" s="346" t="inlineStr">
        <is>
          <t>13АВ-РД-АР1.1-К3</t>
        </is>
      </c>
      <c r="C8" s="379" t="n">
        <v>45974</v>
      </c>
      <c r="D8" s="349" t="inlineStr">
        <is>
          <t>Кладка</t>
        </is>
      </c>
      <c r="E8" s="349" t="inlineStr">
        <is>
          <t>БАЗА</t>
        </is>
      </c>
      <c r="F8" s="346" t="inlineStr">
        <is>
          <t>Внутренние стены D600 250 мм</t>
        </is>
      </c>
      <c r="G8" s="444" t="inlineStr">
        <is>
          <t>Корпус 3</t>
        </is>
      </c>
      <c r="H8" s="349" t="n"/>
      <c r="I8" s="349" t="inlineStr">
        <is>
          <t>м3</t>
        </is>
      </c>
      <c r="J8" s="439" t="n"/>
      <c r="K8" s="351" t="inlineStr">
        <is>
          <t>Газобетонные блоки D600 толщиной 250 мм, ГОСТ 31359-2007</t>
        </is>
      </c>
      <c r="L8" s="349" t="inlineStr">
        <is>
          <t>м3</t>
        </is>
      </c>
      <c r="M8" s="349" t="n">
        <v>14.54</v>
      </c>
      <c r="N8" s="349">
        <f>W8</f>
        <v/>
      </c>
      <c r="O8" s="349" t="n"/>
      <c r="P8" s="349" t="n"/>
      <c r="Q8" s="429">
        <f>N8*V8+P8</f>
        <v/>
      </c>
      <c r="R8" s="349" t="inlineStr">
        <is>
          <t>м3</t>
        </is>
      </c>
      <c r="S8" s="349" t="n"/>
      <c r="T8" s="349" t="n"/>
      <c r="U8" s="349" t="inlineStr">
        <is>
          <t>СВ-1.1</t>
        </is>
      </c>
      <c r="V8" s="349" t="n">
        <v>1</v>
      </c>
      <c r="W8" s="0" t="n">
        <v>18.6</v>
      </c>
    </row>
    <row r="9">
      <c r="A9" s="471" t="n"/>
      <c r="B9" s="471" t="inlineStr">
        <is>
          <t>13АВ-РД-АР1.1-К3</t>
        </is>
      </c>
      <c r="C9" s="380" t="n">
        <v>45974</v>
      </c>
      <c r="D9" s="67" t="inlineStr">
        <is>
          <t>Кладка</t>
        </is>
      </c>
      <c r="E9" s="67" t="n"/>
      <c r="F9" s="487" t="inlineStr">
        <is>
          <t>Внутренние стены D600 250 мм</t>
        </is>
      </c>
      <c r="G9" s="487" t="inlineStr">
        <is>
          <t>Корпус 3</t>
        </is>
      </c>
      <c r="H9" s="421" t="n"/>
      <c r="I9" s="421" t="n"/>
      <c r="J9" s="514" t="n"/>
      <c r="K9" s="537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364">
        <f>W9</f>
        <v/>
      </c>
      <c r="O9" s="358" t="n">
        <v>0</v>
      </c>
      <c r="P9" s="358" t="n">
        <v>0</v>
      </c>
      <c r="Q9" s="364">
        <f>N9*V9+P9</f>
        <v/>
      </c>
      <c r="R9" s="358" t="inlineStr">
        <is>
          <t>м.п.</t>
        </is>
      </c>
      <c r="S9" s="358" t="n"/>
      <c r="T9" s="358" t="n"/>
      <c r="U9" s="375" t="inlineStr">
        <is>
          <t xml:space="preserve">Верхнее крепление газобетонных блоков СВ-1.1 к перекрытию </t>
        </is>
      </c>
      <c r="V9" s="413" t="n">
        <v>1</v>
      </c>
      <c r="W9" s="0" t="n">
        <v>0</v>
      </c>
    </row>
    <row r="10">
      <c r="A10" s="471" t="n"/>
      <c r="B10" s="471" t="inlineStr">
        <is>
          <t>13АВ-РД-АР1.1-К3</t>
        </is>
      </c>
      <c r="C10" s="380" t="n">
        <v>45974</v>
      </c>
      <c r="D10" s="67" t="inlineStr">
        <is>
          <t>Кладка</t>
        </is>
      </c>
      <c r="E10" s="67" t="n"/>
      <c r="F10" s="471" t="inlineStr">
        <is>
          <t>Внутренние стены D600 250 мм</t>
        </is>
      </c>
      <c r="G10" s="471" t="inlineStr">
        <is>
          <t>Корпус 3</t>
        </is>
      </c>
      <c r="H10" s="67" t="n"/>
      <c r="I10" s="67" t="n"/>
      <c r="J10" s="419" t="n"/>
      <c r="K10" s="563" t="inlineStr">
        <is>
          <t>Вертикалное примыкание к ЖБ стенам</t>
        </is>
      </c>
      <c r="L10" s="381" t="inlineStr">
        <is>
          <t>м.п.</t>
        </is>
      </c>
      <c r="M10" s="364" t="n">
        <v>0</v>
      </c>
      <c r="N10" s="364">
        <f>W10</f>
        <v/>
      </c>
      <c r="O10" s="358" t="n">
        <v>0</v>
      </c>
      <c r="P10" s="358" t="n">
        <v>0</v>
      </c>
      <c r="Q10" s="364">
        <f>N10*V10+P10</f>
        <v/>
      </c>
      <c r="R10" s="358" t="inlineStr">
        <is>
          <t>м.п.</t>
        </is>
      </c>
      <c r="S10" s="67" t="n"/>
      <c r="T10" s="67" t="n"/>
      <c r="U10" s="563" t="inlineStr">
        <is>
          <t>Вертикалное примыкание к ЖБ стенам</t>
        </is>
      </c>
      <c r="V10" s="67" t="n">
        <v>1</v>
      </c>
      <c r="W10" s="0" t="n">
        <v>0</v>
      </c>
    </row>
    <row r="11">
      <c r="A11" s="375" t="inlineStr">
        <is>
          <t>мат.</t>
        </is>
      </c>
      <c r="B11" s="375" t="inlineStr">
        <is>
          <t>13АВ-РД-АР1.1-К3</t>
        </is>
      </c>
      <c r="C11" s="380" t="n">
        <v>45974</v>
      </c>
      <c r="D11" s="358" t="inlineStr">
        <is>
          <t>Кладка</t>
        </is>
      </c>
      <c r="E11" s="360" t="n"/>
      <c r="F11" s="378" t="inlineStr">
        <is>
          <t>Перемычки внутренних стен D600 250 мм</t>
        </is>
      </c>
      <c r="G11" s="487" t="inlineStr">
        <is>
          <t>Корпус 3</t>
        </is>
      </c>
      <c r="H11" s="362" t="n"/>
      <c r="I11" s="362" t="n"/>
      <c r="J11" s="362" t="n"/>
      <c r="K11" s="376" t="inlineStr">
        <is>
          <t>Уголок 40х5</t>
        </is>
      </c>
      <c r="L11" s="381" t="inlineStr">
        <is>
          <t>т</t>
        </is>
      </c>
      <c r="M11" s="527">
        <f>((4.47*2)*9)/1000</f>
        <v/>
      </c>
      <c r="N11" s="364">
        <f>W11</f>
        <v/>
      </c>
      <c r="O11" s="358" t="n">
        <v>0</v>
      </c>
      <c r="P11" s="358" t="n">
        <v>0</v>
      </c>
      <c r="Q11" s="527">
        <f>N11*V11+P11</f>
        <v/>
      </c>
      <c r="R11" s="358" t="inlineStr">
        <is>
          <t>т</t>
        </is>
      </c>
      <c r="S11" s="360" t="n"/>
      <c r="T11" s="360" t="n"/>
      <c r="U11" s="375" t="inlineStr">
        <is>
          <t>ПР-2 - 9 шт</t>
        </is>
      </c>
      <c r="V11" s="364" t="n">
        <v>1</v>
      </c>
      <c r="W11" s="0" t="n">
        <v>0</v>
      </c>
    </row>
    <row r="12">
      <c r="A12" s="375" t="inlineStr">
        <is>
          <t>мат.</t>
        </is>
      </c>
      <c r="B12" s="375" t="inlineStr">
        <is>
          <t>13АВ-РД-АР1.1-К3</t>
        </is>
      </c>
      <c r="C12" s="380" t="n">
        <v>45974</v>
      </c>
      <c r="D12" s="358" t="inlineStr">
        <is>
          <t>Кладка</t>
        </is>
      </c>
      <c r="E12" s="360" t="n"/>
      <c r="F12" s="378" t="inlineStr">
        <is>
          <t>Перемычки внутренних стен D600 250 мм</t>
        </is>
      </c>
      <c r="G12" s="378" t="inlineStr">
        <is>
          <t>Корпус 3</t>
        </is>
      </c>
      <c r="H12" s="362" t="n"/>
      <c r="I12" s="362" t="n"/>
      <c r="J12" s="362" t="n"/>
      <c r="K12" s="376" t="inlineStr">
        <is>
          <t>Полоса 50х5</t>
        </is>
      </c>
      <c r="L12" s="381" t="inlineStr">
        <is>
          <t>т</t>
        </is>
      </c>
      <c r="M12" s="527">
        <f>((0.49075*3)*9)/1000</f>
        <v/>
      </c>
      <c r="N12" s="364">
        <f>W12</f>
        <v/>
      </c>
      <c r="O12" s="358" t="n">
        <v>0</v>
      </c>
      <c r="P12" s="358" t="n">
        <v>0</v>
      </c>
      <c r="Q12" s="528">
        <f>N12*V12+P12</f>
        <v/>
      </c>
      <c r="R12" s="358" t="inlineStr">
        <is>
          <t>т</t>
        </is>
      </c>
      <c r="S12" s="360" t="n"/>
      <c r="T12" s="360" t="n"/>
      <c r="U12" s="360" t="n"/>
      <c r="V12" s="364" t="n">
        <v>1</v>
      </c>
      <c r="W12" s="0" t="n">
        <v>0</v>
      </c>
    </row>
    <row r="13">
      <c r="A13" s="346" t="inlineStr">
        <is>
          <t>мат.</t>
        </is>
      </c>
      <c r="B13" s="346" t="inlineStr">
        <is>
          <t>13АВ-РД-АР1.1-К3</t>
        </is>
      </c>
      <c r="C13" s="379" t="n">
        <v>45974</v>
      </c>
      <c r="D13" s="349" t="inlineStr">
        <is>
          <t>Кладка</t>
        </is>
      </c>
      <c r="E13" s="349" t="inlineStr">
        <is>
          <t>БАЗА</t>
        </is>
      </c>
      <c r="F13" s="346" t="inlineStr">
        <is>
          <t>Внутренние стены D600 200 мм</t>
        </is>
      </c>
      <c r="G13" s="444" t="inlineStr">
        <is>
          <t>Корпус 3</t>
        </is>
      </c>
      <c r="H13" s="349" t="n"/>
      <c r="I13" s="349" t="inlineStr">
        <is>
          <t>м3</t>
        </is>
      </c>
      <c r="J13" s="439" t="n"/>
      <c r="K13" s="351" t="inlineStr">
        <is>
          <t>Газобетонные блоки D600 толщиной 200 мм, ГОСТ 31359-2007</t>
        </is>
      </c>
      <c r="L13" s="349" t="inlineStr">
        <is>
          <t>м3</t>
        </is>
      </c>
      <c r="M13" s="349" t="n">
        <v>824.34</v>
      </c>
      <c r="N13" s="349">
        <f>W13</f>
        <v/>
      </c>
      <c r="O13" s="349" t="n"/>
      <c r="P13" s="349" t="n"/>
      <c r="Q13" s="429">
        <f>N13*V13+P13</f>
        <v/>
      </c>
      <c r="R13" s="349" t="inlineStr">
        <is>
          <t>м3</t>
        </is>
      </c>
      <c r="S13" s="349" t="n"/>
      <c r="T13" s="349" t="n"/>
      <c r="U13" s="349" t="inlineStr">
        <is>
          <t>СВ-1.2</t>
        </is>
      </c>
      <c r="V13" s="349" t="n">
        <v>1</v>
      </c>
      <c r="W13" s="0" t="n">
        <v>26.918</v>
      </c>
    </row>
    <row r="14">
      <c r="A14" s="471" t="n"/>
      <c r="B14" s="471" t="inlineStr">
        <is>
          <t>13АВ-РД-АР1.1-К3</t>
        </is>
      </c>
      <c r="C14" s="380" t="n">
        <v>45974</v>
      </c>
      <c r="D14" s="67" t="inlineStr">
        <is>
          <t>Кладка</t>
        </is>
      </c>
      <c r="E14" s="67" t="n"/>
      <c r="F14" s="487" t="inlineStr">
        <is>
          <t>Внутренние стены D600 200 мм</t>
        </is>
      </c>
      <c r="G14" s="487" t="inlineStr">
        <is>
          <t>Корпус 3</t>
        </is>
      </c>
      <c r="H14" s="421" t="n"/>
      <c r="I14" s="421" t="n"/>
      <c r="J14" s="514" t="n"/>
      <c r="K14" s="537" t="inlineStr">
        <is>
          <t>Примыкание к плите перекрытия</t>
        </is>
      </c>
      <c r="L14" s="381" t="inlineStr">
        <is>
          <t>м.п.</t>
        </is>
      </c>
      <c r="M14" s="364" t="n">
        <v>0</v>
      </c>
      <c r="N14" s="364">
        <f>W14</f>
        <v/>
      </c>
      <c r="O14" s="358" t="n">
        <v>0</v>
      </c>
      <c r="P14" s="358" t="n">
        <v>0</v>
      </c>
      <c r="Q14" s="364">
        <f>N14*V14+P14</f>
        <v/>
      </c>
      <c r="R14" s="358" t="inlineStr">
        <is>
          <t>м.п.</t>
        </is>
      </c>
      <c r="S14" s="358" t="n"/>
      <c r="T14" s="358" t="n"/>
      <c r="U14" s="375" t="inlineStr">
        <is>
          <t xml:space="preserve">Верхнее крепление газобетонных блоков СВ-1.2 к перекрытию </t>
        </is>
      </c>
      <c r="V14" s="413" t="n">
        <v>1</v>
      </c>
      <c r="W14" s="0" t="n">
        <v>0</v>
      </c>
    </row>
    <row r="15">
      <c r="A15" s="471" t="n"/>
      <c r="B15" s="471" t="inlineStr">
        <is>
          <t>13АВ-РД-АР1.1-К3</t>
        </is>
      </c>
      <c r="C15" s="380" t="n">
        <v>45974</v>
      </c>
      <c r="D15" s="67" t="inlineStr">
        <is>
          <t>Кладка</t>
        </is>
      </c>
      <c r="E15" s="67" t="n"/>
      <c r="F15" s="471" t="inlineStr">
        <is>
          <t>Внутренние стены D600 200 мм</t>
        </is>
      </c>
      <c r="G15" s="471" t="inlineStr">
        <is>
          <t>Корпус 3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W15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s="0" t="n">
        <v>0</v>
      </c>
    </row>
    <row r="16">
      <c r="A16" s="375" t="inlineStr">
        <is>
          <t>мат.</t>
        </is>
      </c>
      <c r="B16" s="375" t="inlineStr">
        <is>
          <t>13АВ-РД-АР1.1-К3</t>
        </is>
      </c>
      <c r="C16" s="380" t="n">
        <v>45974</v>
      </c>
      <c r="D16" s="358" t="inlineStr">
        <is>
          <t>Кладка</t>
        </is>
      </c>
      <c r="E16" s="360" t="n"/>
      <c r="F16" s="378" t="inlineStr">
        <is>
          <t>Перемычки внутренних стен D600 200 мм</t>
        </is>
      </c>
      <c r="G16" s="487" t="inlineStr">
        <is>
          <t>Корпус 3</t>
        </is>
      </c>
      <c r="H16" s="362" t="n"/>
      <c r="I16" s="362" t="n"/>
      <c r="J16" s="362" t="n"/>
      <c r="K16" s="376" t="inlineStr">
        <is>
          <t>Уголок 40х5</t>
        </is>
      </c>
      <c r="L16" s="381" t="inlineStr">
        <is>
          <t>т</t>
        </is>
      </c>
      <c r="M16" s="364">
        <f>((4.47*2)*206)/1000</f>
        <v/>
      </c>
      <c r="N16" s="364">
        <f>((2*4.47)*206)/1000</f>
        <v/>
      </c>
      <c r="O16" s="358" t="n">
        <v>0</v>
      </c>
      <c r="P16" s="358" t="n">
        <v>0</v>
      </c>
      <c r="Q16" s="527">
        <f>N16*V16+P16</f>
        <v/>
      </c>
      <c r="R16" s="358" t="inlineStr">
        <is>
          <t>т</t>
        </is>
      </c>
      <c r="S16" s="360" t="n"/>
      <c r="T16" s="360" t="n"/>
      <c r="U16" s="375" t="inlineStr">
        <is>
          <t>ПР-1 - 206 шт</t>
        </is>
      </c>
      <c r="V16" s="364" t="n">
        <v>1</v>
      </c>
      <c r="W16" s="0" t="n">
        <v>0</v>
      </c>
    </row>
    <row r="17">
      <c r="A17" s="375" t="inlineStr">
        <is>
          <t>мат.</t>
        </is>
      </c>
      <c r="B17" s="375" t="inlineStr">
        <is>
          <t>13АВ-РД-АР1.1-К3</t>
        </is>
      </c>
      <c r="C17" s="380" t="n">
        <v>45974</v>
      </c>
      <c r="D17" s="358" t="inlineStr">
        <is>
          <t>Кладка</t>
        </is>
      </c>
      <c r="E17" s="360" t="n"/>
      <c r="F17" s="378" t="inlineStr">
        <is>
          <t>Перемычки внутренних стен D600 200 мм</t>
        </is>
      </c>
      <c r="G17" s="487" t="inlineStr">
        <is>
          <t>Корпус 3</t>
        </is>
      </c>
      <c r="H17" s="362" t="n"/>
      <c r="I17" s="362" t="n"/>
      <c r="J17" s="362" t="n"/>
      <c r="K17" s="376" t="inlineStr">
        <is>
          <t>Полоса 50х5</t>
        </is>
      </c>
      <c r="L17" s="381" t="inlineStr">
        <is>
          <t>т</t>
        </is>
      </c>
      <c r="M17" s="364">
        <f>((0.3926*3)*206)/1000</f>
        <v/>
      </c>
      <c r="N17" s="364">
        <f>((0.3926*3)*206)/1000</f>
        <v/>
      </c>
      <c r="O17" s="358" t="n">
        <v>0</v>
      </c>
      <c r="P17" s="358" t="n">
        <v>0</v>
      </c>
      <c r="Q17" s="528">
        <f>N17*V17+P17</f>
        <v/>
      </c>
      <c r="R17" s="358" t="inlineStr">
        <is>
          <t>т</t>
        </is>
      </c>
      <c r="S17" s="360" t="n"/>
      <c r="T17" s="360" t="n"/>
      <c r="U17" s="360" t="n"/>
      <c r="V17" s="364" t="n">
        <v>1</v>
      </c>
      <c r="W17" s="0" t="n">
        <v>0</v>
      </c>
    </row>
    <row r="18">
      <c r="A18" s="346" t="inlineStr">
        <is>
          <t>мат.</t>
        </is>
      </c>
      <c r="B18" s="346" t="inlineStr">
        <is>
          <t>13АВ-РД-АР1.1-К3</t>
        </is>
      </c>
      <c r="C18" s="379" t="n">
        <v>45974</v>
      </c>
      <c r="D18" s="349" t="inlineStr">
        <is>
          <t>Кладка</t>
        </is>
      </c>
      <c r="E18" s="349" t="inlineStr">
        <is>
          <t>БАЗА</t>
        </is>
      </c>
      <c r="F18" s="346" t="inlineStr">
        <is>
          <t>Внутренние стены D600 150 мм</t>
        </is>
      </c>
      <c r="G18" s="444" t="inlineStr">
        <is>
          <t>Корпус 3</t>
        </is>
      </c>
      <c r="H18" s="349" t="n"/>
      <c r="I18" s="349" t="inlineStr">
        <is>
          <t>м3</t>
        </is>
      </c>
      <c r="J18" s="439" t="n"/>
      <c r="K18" s="351" t="inlineStr">
        <is>
          <t>Газобетонные блоки D600 толщиной 150 мм, ГОСТ 31359-2007</t>
        </is>
      </c>
      <c r="L18" s="349" t="inlineStr">
        <is>
          <t>м3</t>
        </is>
      </c>
      <c r="M18" s="349" t="n">
        <v>73.36</v>
      </c>
      <c r="N18" s="349">
        <f>W18</f>
        <v/>
      </c>
      <c r="O18" s="349" t="n"/>
      <c r="P18" s="349" t="n"/>
      <c r="Q18" s="429">
        <f>N18*V18+P18</f>
        <v/>
      </c>
      <c r="R18" s="349" t="inlineStr">
        <is>
          <t>м3</t>
        </is>
      </c>
      <c r="S18" s="349" t="n"/>
      <c r="T18" s="349" t="n"/>
      <c r="U18" s="349" t="inlineStr">
        <is>
          <t>СВ-1.3</t>
        </is>
      </c>
      <c r="V18" s="349" t="n">
        <v>1</v>
      </c>
      <c r="W18" s="0" t="n">
        <v>4.865</v>
      </c>
    </row>
    <row r="19">
      <c r="A19" s="375" t="n"/>
      <c r="B19" s="375" t="inlineStr">
        <is>
          <t>13АВ-РД-АР1.1-К3</t>
        </is>
      </c>
      <c r="C19" s="380" t="n">
        <v>45974</v>
      </c>
      <c r="D19" s="358" t="inlineStr">
        <is>
          <t>Кладка</t>
        </is>
      </c>
      <c r="E19" s="360" t="n"/>
      <c r="F19" s="378" t="inlineStr">
        <is>
          <t>Внутренние стены D600 150 мм</t>
        </is>
      </c>
      <c r="G19" s="471" t="inlineStr">
        <is>
          <t>Корпус 3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W19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СВ-1.3 к перекрытию</t>
        </is>
      </c>
      <c r="V19" s="364" t="n">
        <v>1</v>
      </c>
      <c r="W19" s="0" t="n">
        <v>0</v>
      </c>
    </row>
    <row r="20">
      <c r="A20" s="471" t="n"/>
      <c r="B20" s="471" t="inlineStr">
        <is>
          <t>13АВ-РД-АР1.1-К3</t>
        </is>
      </c>
      <c r="C20" s="380" t="n">
        <v>45974</v>
      </c>
      <c r="D20" s="67" t="inlineStr">
        <is>
          <t>Кладка</t>
        </is>
      </c>
      <c r="E20" s="67" t="n"/>
      <c r="F20" s="471" t="inlineStr">
        <is>
          <t>Внутренние стены D600 150 мм</t>
        </is>
      </c>
      <c r="G20" s="471" t="inlineStr">
        <is>
          <t>Корпус 3</t>
        </is>
      </c>
      <c r="H20" s="67" t="n"/>
      <c r="I20" s="67" t="n"/>
      <c r="J20" s="419" t="n"/>
      <c r="K20" s="563" t="inlineStr">
        <is>
          <t>Вертикалное примыкание к ЖБ стенам</t>
        </is>
      </c>
      <c r="L20" s="381" t="inlineStr">
        <is>
          <t>м.п.</t>
        </is>
      </c>
      <c r="M20" s="364" t="n">
        <v>0</v>
      </c>
      <c r="N20" s="364">
        <f>W20</f>
        <v/>
      </c>
      <c r="O20" s="358" t="n">
        <v>0</v>
      </c>
      <c r="P20" s="358" t="n">
        <v>0</v>
      </c>
      <c r="Q20" s="364">
        <f>N20*V20+P20</f>
        <v/>
      </c>
      <c r="R20" s="358" t="inlineStr">
        <is>
          <t>м.п.</t>
        </is>
      </c>
      <c r="S20" s="67" t="n"/>
      <c r="T20" s="67" t="n"/>
      <c r="U20" s="563" t="inlineStr">
        <is>
          <t>Вертикалное примыкание к ЖБ стенам</t>
        </is>
      </c>
      <c r="V20" s="67" t="n">
        <v>1</v>
      </c>
      <c r="W20" s="0" t="n">
        <v>0</v>
      </c>
    </row>
    <row r="21">
      <c r="A21" s="375" t="inlineStr">
        <is>
          <t>мат.</t>
        </is>
      </c>
      <c r="B21" s="375" t="inlineStr">
        <is>
          <t>13АВ-РД-АР1.1-К3</t>
        </is>
      </c>
      <c r="C21" s="380" t="n">
        <v>45974</v>
      </c>
      <c r="D21" s="358" t="inlineStr">
        <is>
          <t>Кладка</t>
        </is>
      </c>
      <c r="E21" s="360" t="n"/>
      <c r="F21" s="375" t="inlineStr">
        <is>
          <t>Перемычки внутренних стен D600 150 мм</t>
        </is>
      </c>
      <c r="G21" s="487" t="inlineStr">
        <is>
          <t>Корпус 3</t>
        </is>
      </c>
      <c r="H21" s="360" t="n"/>
      <c r="I21" s="360" t="n"/>
      <c r="J21" s="360" t="n"/>
      <c r="K21" s="529" t="inlineStr">
        <is>
          <t>Уголок 40х4</t>
        </is>
      </c>
      <c r="L21" s="358" t="inlineStr">
        <is>
          <t>т</t>
        </is>
      </c>
      <c r="M21" s="364" t="n">
        <v>0.33</v>
      </c>
      <c r="N21" s="364">
        <f>((2*2.831)*58)/1000</f>
        <v/>
      </c>
      <c r="O21" s="358" t="n">
        <v>0</v>
      </c>
      <c r="P21" s="358" t="n">
        <v>0</v>
      </c>
      <c r="Q21" s="364" t="n">
        <v>0.33</v>
      </c>
      <c r="R21" s="358" t="inlineStr">
        <is>
          <t>т</t>
        </is>
      </c>
      <c r="S21" s="360" t="n"/>
      <c r="T21" s="360" t="n"/>
      <c r="U21" s="375" t="inlineStr">
        <is>
          <t>ПР-3 -  58 шт</t>
        </is>
      </c>
      <c r="V21" s="364" t="n">
        <v>1</v>
      </c>
      <c r="W21" s="0" t="n">
        <v>0</v>
      </c>
    </row>
    <row r="22">
      <c r="A22" s="346" t="inlineStr">
        <is>
          <t>мат.</t>
        </is>
      </c>
      <c r="B22" s="346" t="inlineStr">
        <is>
          <t>13АВ-РД-АР1.1-К3</t>
        </is>
      </c>
      <c r="C22" s="379" t="n">
        <v>45974</v>
      </c>
      <c r="D22" s="349" t="inlineStr">
        <is>
          <t>Кладка</t>
        </is>
      </c>
      <c r="E22" s="349" t="inlineStr">
        <is>
          <t>БАЗА</t>
        </is>
      </c>
      <c r="F22" s="346" t="inlineStr">
        <is>
          <t>Шахты МОП D600 100 мм</t>
        </is>
      </c>
      <c r="G22" s="444" t="inlineStr">
        <is>
          <t>Корпус 3</t>
        </is>
      </c>
      <c r="H22" s="349" t="n"/>
      <c r="I22" s="349" t="inlineStr">
        <is>
          <t>м2</t>
        </is>
      </c>
      <c r="J22" s="439" t="n"/>
      <c r="K22" s="351" t="inlineStr">
        <is>
          <t>Газобетонные блоки D600 толщиной 100 мм, ГОСТ 31359-2007</t>
        </is>
      </c>
      <c r="L22" s="349" t="inlineStr">
        <is>
          <t>м3</t>
        </is>
      </c>
      <c r="M22" s="349" t="n">
        <v>12.43</v>
      </c>
      <c r="N22" s="349">
        <f>W22</f>
        <v/>
      </c>
      <c r="O22" s="349" t="n"/>
      <c r="P22" s="349" t="n"/>
      <c r="Q22" s="429">
        <f>N22*V22+P22</f>
        <v/>
      </c>
      <c r="R22" s="349" t="inlineStr">
        <is>
          <t>м3</t>
        </is>
      </c>
      <c r="S22" s="349" t="n"/>
      <c r="T22" s="349" t="n"/>
      <c r="U22" s="349" t="inlineStr">
        <is>
          <t>СВ-1.4</t>
        </is>
      </c>
      <c r="V22" s="349" t="n">
        <v>1</v>
      </c>
      <c r="W22" s="0" t="n">
        <v>9.882999999999999</v>
      </c>
    </row>
    <row r="23">
      <c r="A23" s="471" t="n"/>
      <c r="B23" s="471" t="inlineStr">
        <is>
          <t>13АВ-РД-АР1.1-К3</t>
        </is>
      </c>
      <c r="C23" s="380" t="n">
        <v>45974</v>
      </c>
      <c r="D23" s="67" t="inlineStr">
        <is>
          <t>Кладка</t>
        </is>
      </c>
      <c r="E23" s="67" t="n"/>
      <c r="F23" s="487" t="inlineStr">
        <is>
          <t>Внутренние стены D600 100 мм</t>
        </is>
      </c>
      <c r="G23" s="487" t="inlineStr">
        <is>
          <t>Корпус 3</t>
        </is>
      </c>
      <c r="H23" s="421" t="n"/>
      <c r="I23" s="421" t="n"/>
      <c r="J23" s="514" t="n"/>
      <c r="K23" s="537" t="inlineStr">
        <is>
          <t>Примыкание к плите перекрытия</t>
        </is>
      </c>
      <c r="L23" s="381" t="inlineStr">
        <is>
          <t>м.п.</t>
        </is>
      </c>
      <c r="M23" s="364" t="n">
        <v>0</v>
      </c>
      <c r="N23" s="364">
        <f>W23</f>
        <v/>
      </c>
      <c r="O23" s="358" t="n">
        <v>0</v>
      </c>
      <c r="P23" s="358" t="n">
        <v>0</v>
      </c>
      <c r="Q23" s="364">
        <f>N23*V23+P23</f>
        <v/>
      </c>
      <c r="R23" s="358" t="inlineStr">
        <is>
          <t>м.п.</t>
        </is>
      </c>
      <c r="S23" s="358" t="n"/>
      <c r="T23" s="358" t="n"/>
      <c r="U23" s="375" t="inlineStr">
        <is>
          <t xml:space="preserve">Верхнее крепление газобетонных блоков СВ-1.4 к перекрытию </t>
        </is>
      </c>
      <c r="V23" s="413" t="n">
        <v>1</v>
      </c>
      <c r="W23" s="0" t="n">
        <v>0</v>
      </c>
    </row>
    <row r="24">
      <c r="A24" s="471" t="n"/>
      <c r="B24" s="471" t="inlineStr">
        <is>
          <t>13АВ-РД-АР1.1-К3</t>
        </is>
      </c>
      <c r="C24" s="380" t="n">
        <v>45974</v>
      </c>
      <c r="D24" s="67" t="inlineStr">
        <is>
          <t>Кладка</t>
        </is>
      </c>
      <c r="E24" s="67" t="n"/>
      <c r="F24" s="471" t="inlineStr">
        <is>
          <t>Внутренние стены D600 100 мм</t>
        </is>
      </c>
      <c r="G24" s="471" t="inlineStr">
        <is>
          <t>Корпус 3</t>
        </is>
      </c>
      <c r="H24" s="67" t="n"/>
      <c r="I24" s="67" t="n"/>
      <c r="J24" s="419" t="n"/>
      <c r="K24" s="563" t="inlineStr">
        <is>
          <t>Вертикалное примыкание к ЖБ стенам</t>
        </is>
      </c>
      <c r="L24" s="381" t="inlineStr">
        <is>
          <t>м.п.</t>
        </is>
      </c>
      <c r="M24" s="364" t="n">
        <v>0</v>
      </c>
      <c r="N24" s="364">
        <f>W24</f>
        <v/>
      </c>
      <c r="O24" s="358" t="n">
        <v>0</v>
      </c>
      <c r="P24" s="358" t="n">
        <v>0</v>
      </c>
      <c r="Q24" s="364">
        <f>N24*V24+P24</f>
        <v/>
      </c>
      <c r="R24" s="358" t="inlineStr">
        <is>
          <t>м.п.</t>
        </is>
      </c>
      <c r="S24" s="67" t="n"/>
      <c r="T24" s="67" t="n"/>
      <c r="U24" s="563" t="inlineStr">
        <is>
          <t>Вертикалное примыкание к ЖБ стенам</t>
        </is>
      </c>
      <c r="V24" s="67" t="n">
        <v>1</v>
      </c>
      <c r="W24" s="0" t="n">
        <v>0</v>
      </c>
    </row>
    <row r="25">
      <c r="A25" s="346" t="inlineStr">
        <is>
          <t>мат.</t>
        </is>
      </c>
      <c r="B25" s="346" t="inlineStr">
        <is>
          <t>13АВ-РД-АР1.1-К3</t>
        </is>
      </c>
      <c r="C25" s="379" t="n">
        <v>45974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Трассировка внутриквартирные стены из влагостойких ПСП толщиной 80 мм</t>
        </is>
      </c>
      <c r="G25" s="444" t="inlineStr">
        <is>
          <t>Корпус 3</t>
        </is>
      </c>
      <c r="H25" s="349" t="n"/>
      <c r="I25" s="349" t="inlineStr">
        <is>
          <t>м2</t>
        </is>
      </c>
      <c r="J25" s="439" t="n"/>
      <c r="K25" s="351" t="inlineStr">
        <is>
          <t>Силикатные полнотелые влагостойкие пазогребневые плиты (ПСП) толщиной 80 мм ГОСТ 379-2015</t>
        </is>
      </c>
      <c r="L25" s="349" t="inlineStr">
        <is>
          <t>м2</t>
        </is>
      </c>
      <c r="M25" s="349">
        <f>SUM(V25:AZ25)</f>
        <v/>
      </c>
      <c r="N25" s="349">
        <f>W25</f>
        <v/>
      </c>
      <c r="O25" s="349" t="n"/>
      <c r="P25" s="349" t="n"/>
      <c r="Q25" s="429">
        <f>N25*V25+P25</f>
        <v/>
      </c>
      <c r="R25" s="349" t="inlineStr">
        <is>
          <t>м2</t>
        </is>
      </c>
      <c r="S25" s="349" t="n"/>
      <c r="T25" s="349" t="n"/>
      <c r="U25" s="349" t="inlineStr">
        <is>
          <t>СВ-2.1
Трассировка внутреквартирных стен</t>
        </is>
      </c>
      <c r="V25" s="349" t="n">
        <v>1</v>
      </c>
      <c r="W25" s="0" t="n">
        <v>0</v>
      </c>
    </row>
    <row r="26">
      <c r="A26" s="471" t="n"/>
      <c r="B26" s="471" t="inlineStr">
        <is>
          <t>13АВ-РД-АР1.1-К3</t>
        </is>
      </c>
      <c r="C26" s="380" t="n">
        <v>45974</v>
      </c>
      <c r="D26" s="67" t="inlineStr">
        <is>
          <t>Кладка</t>
        </is>
      </c>
      <c r="E26" s="67" t="n"/>
      <c r="F26" s="471" t="inlineStr">
        <is>
          <t>Трассировка внутриквартирные стены из влагостойких ПСП толщиной 80 мм</t>
        </is>
      </c>
      <c r="G26" s="471" t="inlineStr">
        <is>
          <t>Корпус 3</t>
        </is>
      </c>
      <c r="H26" s="67" t="n"/>
      <c r="I26" s="67" t="n"/>
      <c r="J26" s="419" t="n"/>
      <c r="K26" s="563" t="inlineStr">
        <is>
          <t>Вертикалное примыкание к ЖБ стенам</t>
        </is>
      </c>
      <c r="L26" s="67" t="inlineStr">
        <is>
          <t>п.м.</t>
        </is>
      </c>
      <c r="M26" s="67" t="n">
        <v>0</v>
      </c>
      <c r="N26" s="67">
        <f>W26</f>
        <v/>
      </c>
      <c r="O26" s="67" t="n"/>
      <c r="P26" s="67" t="n"/>
      <c r="Q26" s="413">
        <f>N26*V26+P26</f>
        <v/>
      </c>
      <c r="R26" s="67" t="inlineStr">
        <is>
          <t>п.м.</t>
        </is>
      </c>
      <c r="S26" s="67" t="n"/>
      <c r="T26" s="67" t="n"/>
      <c r="U26" s="563" t="inlineStr">
        <is>
          <t>Вертикалное примыкание к ЖБ стенам</t>
        </is>
      </c>
      <c r="V26" s="67" t="n">
        <v>1</v>
      </c>
      <c r="W26" s="0" t="n">
        <v>0</v>
      </c>
    </row>
    <row r="27">
      <c r="A27" s="346" t="inlineStr">
        <is>
          <t>мат.</t>
        </is>
      </c>
      <c r="B27" s="346" t="inlineStr">
        <is>
          <t>13АВ-РД-АР1.1-К3</t>
        </is>
      </c>
      <c r="C27" s="379" t="n">
        <v>45974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Трассировка внутриквартирные шахты из влагостойких ПСП толщиной 80 мм</t>
        </is>
      </c>
      <c r="G27" s="444" t="inlineStr">
        <is>
          <t>Корпус 3</t>
        </is>
      </c>
      <c r="H27" s="349" t="n"/>
      <c r="I27" s="349" t="n"/>
      <c r="J27" s="439" t="n"/>
      <c r="K27" s="351" t="inlineStr">
        <is>
          <t>Силикатные полнотелые влагостойкие пазогребневые плиты (ПСП) толщиной 80 мм ГОСТ 379-2015</t>
        </is>
      </c>
      <c r="L27" s="349" t="inlineStr">
        <is>
          <t>м2</t>
        </is>
      </c>
      <c r="M27" s="349">
        <f>SUM(V27:AZ27)</f>
        <v/>
      </c>
      <c r="N27" s="349">
        <f>W27</f>
        <v/>
      </c>
      <c r="O27" s="349" t="n"/>
      <c r="P27" s="349" t="n"/>
      <c r="Q27" s="429">
        <f>N27*V27+P27</f>
        <v/>
      </c>
      <c r="R27" s="349" t="inlineStr">
        <is>
          <t>м2</t>
        </is>
      </c>
      <c r="S27" s="349" t="n"/>
      <c r="T27" s="349" t="n"/>
      <c r="U27" s="349" t="inlineStr">
        <is>
          <t>СВ-2.1 
Трассировка шахт</t>
        </is>
      </c>
      <c r="V27" s="349" t="n">
        <v>1</v>
      </c>
      <c r="W27" s="0" t="n">
        <v>0</v>
      </c>
    </row>
    <row r="28">
      <c r="A28" s="471" t="n"/>
      <c r="B28" s="471" t="inlineStr">
        <is>
          <t>13АВ-РД-АР1.1-К3</t>
        </is>
      </c>
      <c r="C28" s="380" t="n">
        <v>45974</v>
      </c>
      <c r="D28" s="67" t="inlineStr">
        <is>
          <t>Кладка</t>
        </is>
      </c>
      <c r="E28" s="67" t="n"/>
      <c r="F28" s="471" t="inlineStr">
        <is>
          <t>Трассировка внутриквартирные шахты из влагостойких ПСП толщиной 80 мм</t>
        </is>
      </c>
      <c r="G28" s="471" t="inlineStr">
        <is>
          <t>Корпус 3</t>
        </is>
      </c>
      <c r="H28" s="67" t="n"/>
      <c r="I28" s="67" t="n"/>
      <c r="J28" s="419" t="n"/>
      <c r="K28" s="563" t="inlineStr">
        <is>
          <t>Вертикалное примыкание трассировки шахт к ЖБ стенам</t>
        </is>
      </c>
      <c r="L28" s="67" t="inlineStr">
        <is>
          <t>п.м.</t>
        </is>
      </c>
      <c r="M28" s="67" t="n">
        <v>0</v>
      </c>
      <c r="N28" s="67">
        <f>W28</f>
        <v/>
      </c>
      <c r="O28" s="67" t="n"/>
      <c r="P28" s="67" t="n"/>
      <c r="Q28" s="413">
        <f>N28*V28+P28</f>
        <v/>
      </c>
      <c r="R28" s="67" t="inlineStr">
        <is>
          <t>п.м.</t>
        </is>
      </c>
      <c r="S28" s="67" t="n"/>
      <c r="T28" s="67" t="n"/>
      <c r="U28" s="563" t="inlineStr">
        <is>
          <t>Вертикалное примыкание трассировки шахт к ЖБ стенам</t>
        </is>
      </c>
      <c r="V28" s="67" t="n">
        <v>1</v>
      </c>
      <c r="W28" s="0" t="n">
        <v>0</v>
      </c>
    </row>
    <row r="29">
      <c r="A29" s="346" t="inlineStr">
        <is>
          <t>мат.</t>
        </is>
      </c>
      <c r="B29" s="346" t="inlineStr">
        <is>
          <t>13АВ-РД-АР1.1-К3</t>
        </is>
      </c>
      <c r="C29" s="379" t="n">
        <v>45974</v>
      </c>
      <c r="D29" s="349" t="inlineStr">
        <is>
          <t>Кладка</t>
        </is>
      </c>
      <c r="E29" s="349" t="inlineStr">
        <is>
          <t>БАЗА</t>
        </is>
      </c>
      <c r="F29" s="346" t="inlineStr">
        <is>
          <t>Трассировка из ПСП</t>
        </is>
      </c>
      <c r="G29" s="444" t="inlineStr">
        <is>
          <t>Корпус 3</t>
        </is>
      </c>
      <c r="H29" s="349" t="n"/>
      <c r="I29" s="349" t="inlineStr">
        <is>
          <t>м2</t>
        </is>
      </c>
      <c r="J29" s="439" t="n"/>
      <c r="K29" s="351" t="inlineStr">
        <is>
          <t>Силикатные полнотелые пазогребневые плиты (ПСП) толщиной 80 мм ГОСТ 379-2015</t>
        </is>
      </c>
      <c r="L29" s="349" t="inlineStr">
        <is>
          <t>м2</t>
        </is>
      </c>
      <c r="M29" s="349" t="n">
        <v>880.8</v>
      </c>
      <c r="N29" s="349">
        <f>SUM(X29:AZ29)</f>
        <v/>
      </c>
      <c r="O29" s="349" t="n"/>
      <c r="P29" s="349" t="n"/>
      <c r="Q29" s="429">
        <f>N29*V29+P29</f>
        <v/>
      </c>
      <c r="R29" s="349" t="inlineStr">
        <is>
          <t>м2</t>
        </is>
      </c>
      <c r="S29" s="349" t="n"/>
      <c r="T29" s="349" t="n"/>
      <c r="U29" s="346" t="inlineStr">
        <is>
          <t>СВ-2.2
Трассировка
Возможно будет замена на трассировку краской, вопрос на согласовании с заказчиком</t>
        </is>
      </c>
      <c r="V29" s="349" t="n">
        <v>1</v>
      </c>
      <c r="W29" s="0" t="n">
        <v>0</v>
      </c>
    </row>
    <row r="30">
      <c r="A30" s="471" t="n"/>
      <c r="B30" s="471" t="inlineStr">
        <is>
          <t>13АВ-РД-АР1.1-К3</t>
        </is>
      </c>
      <c r="C30" s="380" t="n">
        <v>45974</v>
      </c>
      <c r="D30" s="67" t="inlineStr">
        <is>
          <t>Кладка</t>
        </is>
      </c>
      <c r="E30" s="67" t="n"/>
      <c r="F30" s="471" t="inlineStr">
        <is>
          <t>Трассировка из ПСП</t>
        </is>
      </c>
      <c r="G30" s="471" t="inlineStr">
        <is>
          <t>Корпус 3</t>
        </is>
      </c>
      <c r="H30" s="67" t="n"/>
      <c r="I30" s="67" t="n"/>
      <c r="J30" s="419" t="n"/>
      <c r="K30" s="563" t="inlineStr">
        <is>
          <t>Вертикалное примыкание к ЖБ стенам</t>
        </is>
      </c>
      <c r="L30" s="67" t="inlineStr">
        <is>
          <t>п.м.</t>
        </is>
      </c>
      <c r="M30" s="67" t="n">
        <v>0</v>
      </c>
      <c r="N30" s="67">
        <f>W30</f>
        <v/>
      </c>
      <c r="O30" s="67" t="n"/>
      <c r="P30" s="67" t="n"/>
      <c r="Q30" s="413">
        <f>N30*V30+P30</f>
        <v/>
      </c>
      <c r="R30" s="67" t="inlineStr">
        <is>
          <t>п.м.</t>
        </is>
      </c>
      <c r="S30" s="67" t="n"/>
      <c r="T30" s="67" t="n"/>
      <c r="U30" s="563" t="inlineStr">
        <is>
          <t>Вертикалное примыкание к ЖБ стенам</t>
        </is>
      </c>
      <c r="V30" s="67" t="n">
        <v>1</v>
      </c>
      <c r="W30" s="0" t="n">
        <v>0</v>
      </c>
    </row>
    <row r="31">
      <c r="A31" s="346" t="inlineStr">
        <is>
          <t>мат.</t>
        </is>
      </c>
      <c r="B31" s="346" t="inlineStr">
        <is>
          <t>13АВ-РД-АР1.1-К3</t>
        </is>
      </c>
      <c r="C31" s="379" t="n">
        <v>45974</v>
      </c>
      <c r="D31" s="349" t="inlineStr">
        <is>
          <t>Кладка</t>
        </is>
      </c>
      <c r="E31" s="349" t="inlineStr">
        <is>
          <t>БАЗА</t>
        </is>
      </c>
      <c r="F31" s="346" t="inlineStr">
        <is>
          <t>Перегородка из бетонный камней 190 мм</t>
        </is>
      </c>
      <c r="G31" s="444" t="inlineStr">
        <is>
          <t>Корпус 3</t>
        </is>
      </c>
      <c r="H31" s="349" t="n"/>
      <c r="I31" s="349" t="inlineStr">
        <is>
          <t>м3</t>
        </is>
      </c>
      <c r="J31" s="439" t="n"/>
      <c r="K31" s="351" t="inlineStr">
        <is>
          <t>Перегородка из бетонный камней, полнотелый, толщиной 190
мм на ц/п растворе</t>
        </is>
      </c>
      <c r="L31" s="349" t="inlineStr">
        <is>
          <t>м3</t>
        </is>
      </c>
      <c r="M31" s="349" t="n">
        <v>11.71</v>
      </c>
      <c r="N31" s="349">
        <f>SUM(X31:AZ31)</f>
        <v/>
      </c>
      <c r="O31" s="349" t="n"/>
      <c r="P31" s="349" t="n"/>
      <c r="Q31" s="429">
        <f>N31*V31+P31</f>
        <v/>
      </c>
      <c r="R31" s="349" t="inlineStr">
        <is>
          <t>м3</t>
        </is>
      </c>
      <c r="S31" s="349" t="n"/>
      <c r="T31" s="349" t="n"/>
      <c r="U31" s="349" t="inlineStr">
        <is>
          <t>СВ 3.1</t>
        </is>
      </c>
      <c r="V31" s="349" t="n">
        <v>1</v>
      </c>
      <c r="W31" s="0" t="n">
        <v>0</v>
      </c>
    </row>
    <row r="32">
      <c r="A32" s="471" t="n"/>
      <c r="B32" s="471" t="inlineStr">
        <is>
          <t>13АВ-РД-АР1.1-К3</t>
        </is>
      </c>
      <c r="C32" s="380" t="n">
        <v>45974</v>
      </c>
      <c r="D32" s="67" t="inlineStr">
        <is>
          <t>Кладка</t>
        </is>
      </c>
      <c r="E32" s="67" t="n"/>
      <c r="F32" s="487" t="inlineStr">
        <is>
          <t>Перегородка из бетонный камней 190 мм</t>
        </is>
      </c>
      <c r="G32" s="487" t="inlineStr">
        <is>
          <t>Корпус 3</t>
        </is>
      </c>
      <c r="H32" s="421" t="n"/>
      <c r="I32" s="67" t="inlineStr">
        <is>
          <t>м.п.</t>
        </is>
      </c>
      <c r="J32" s="514" t="n"/>
      <c r="K32" s="563" t="inlineStr">
        <is>
          <t>Примыкание к плите перекрытия</t>
        </is>
      </c>
      <c r="L32" s="421" t="inlineStr">
        <is>
          <t>м.п.</t>
        </is>
      </c>
      <c r="M32" s="67" t="n">
        <v>0</v>
      </c>
      <c r="N32" s="67">
        <f>SUM(X32:AZ32)</f>
        <v/>
      </c>
      <c r="O32" s="67" t="n"/>
      <c r="P32" s="67" t="n"/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Верхнее крепление бетонных камней СВ 3.1 к перекрытию</t>
        </is>
      </c>
      <c r="V32" s="67" t="n">
        <v>1</v>
      </c>
      <c r="W32" s="0" t="n">
        <v>0</v>
      </c>
    </row>
    <row r="33">
      <c r="A33" s="471" t="n"/>
      <c r="B33" s="471" t="inlineStr">
        <is>
          <t>13АВ-РД-АР1.1-К3</t>
        </is>
      </c>
      <c r="C33" s="380" t="n">
        <v>45974</v>
      </c>
      <c r="D33" s="67" t="inlineStr">
        <is>
          <t>Кладка</t>
        </is>
      </c>
      <c r="E33" s="67" t="n"/>
      <c r="F33" s="471" t="inlineStr">
        <is>
          <t>Перегородка из бетонный камней 190 мм</t>
        </is>
      </c>
      <c r="G33" s="471" t="inlineStr">
        <is>
          <t>Корпус 3</t>
        </is>
      </c>
      <c r="H33" s="67" t="n"/>
      <c r="I33" s="67" t="n"/>
      <c r="J33" s="419" t="n"/>
      <c r="K33" s="563" t="inlineStr">
        <is>
          <t>Вертикалное примыкание к ЖБ стенам</t>
        </is>
      </c>
      <c r="L33" s="381" t="inlineStr">
        <is>
          <t>м.п.</t>
        </is>
      </c>
      <c r="M33" s="364" t="n">
        <v>0</v>
      </c>
      <c r="N33" s="364">
        <f>W33</f>
        <v/>
      </c>
      <c r="O33" s="358" t="n">
        <v>0</v>
      </c>
      <c r="P33" s="358" t="n">
        <v>0</v>
      </c>
      <c r="Q33" s="364">
        <f>N33*V33+P33</f>
        <v/>
      </c>
      <c r="R33" s="358" t="inlineStr">
        <is>
          <t>м.п.</t>
        </is>
      </c>
      <c r="S33" s="67" t="n"/>
      <c r="T33" s="67" t="n"/>
      <c r="U33" s="563" t="inlineStr">
        <is>
          <t>Вертикалное примыкание к ЖБ стенам</t>
        </is>
      </c>
      <c r="V33" s="67" t="n">
        <v>1</v>
      </c>
      <c r="W33" s="0" t="n">
        <v>0</v>
      </c>
    </row>
    <row r="34">
      <c r="A34" s="346" t="inlineStr">
        <is>
          <t>мат.</t>
        </is>
      </c>
      <c r="B34" s="346" t="inlineStr">
        <is>
          <t>13АВ-РД-АР1.1-К3</t>
        </is>
      </c>
      <c r="C34" s="379" t="n">
        <v>45974</v>
      </c>
      <c r="D34" s="349" t="inlineStr">
        <is>
          <t>Кладка</t>
        </is>
      </c>
      <c r="E34" s="349" t="inlineStr">
        <is>
          <t>БАЗА</t>
        </is>
      </c>
      <c r="F34" s="346" t="inlineStr">
        <is>
          <t>Утеплитель 150 мм</t>
        </is>
      </c>
      <c r="G34" s="444" t="inlineStr">
        <is>
          <t>Корпус 3</t>
        </is>
      </c>
      <c r="H34" s="349" t="n"/>
      <c r="I34" s="349" t="inlineStr">
        <is>
          <t>м3</t>
        </is>
      </c>
      <c r="J34" s="439" t="n"/>
      <c r="K34" s="351" t="inlineStr">
        <is>
          <t>Утепление плитами из минеральной ваты толщиной 150мм,
плотностью ≥140кг/м³</t>
        </is>
      </c>
      <c r="L34" s="349" t="inlineStr">
        <is>
          <t>м3</t>
        </is>
      </c>
      <c r="M34" s="349" t="n">
        <v>63.09</v>
      </c>
      <c r="N34" s="349">
        <f>SUM(X34:AZ34)</f>
        <v/>
      </c>
      <c r="O34" s="349" t="n"/>
      <c r="P34" s="349" t="n"/>
      <c r="Q34" s="429">
        <f>N34*V34+P34</f>
        <v/>
      </c>
      <c r="R34" s="349" t="inlineStr">
        <is>
          <t>м3</t>
        </is>
      </c>
      <c r="S34" s="349" t="n"/>
      <c r="T34" s="349" t="n"/>
      <c r="U34" s="349" t="inlineStr">
        <is>
          <t>У4</t>
        </is>
      </c>
      <c r="V34" s="349" t="n">
        <v>1</v>
      </c>
      <c r="W34" s="0" t="n">
        <v>0</v>
      </c>
    </row>
    <row r="35">
      <c r="A35" s="471" t="n"/>
      <c r="B35" s="471" t="inlineStr">
        <is>
          <t>13АВ-РД-АР1.1-К3</t>
        </is>
      </c>
      <c r="C35" s="380" t="n">
        <v>45974</v>
      </c>
      <c r="D35" s="67" t="inlineStr">
        <is>
          <t>Кладка</t>
        </is>
      </c>
      <c r="E35" s="67" t="n"/>
      <c r="F35" s="487" t="inlineStr">
        <is>
          <t>Утеплитель 150 мм</t>
        </is>
      </c>
      <c r="G35" s="487" t="inlineStr">
        <is>
          <t>Корпус 3</t>
        </is>
      </c>
      <c r="H35" s="421" t="n"/>
      <c r="I35" s="67" t="inlineStr">
        <is>
          <t>м.п.</t>
        </is>
      </c>
      <c r="J35" s="514" t="n"/>
      <c r="K35" s="563" t="inlineStr">
        <is>
          <t>Примыкание к плите перекрытия</t>
        </is>
      </c>
      <c r="L35" s="67" t="inlineStr">
        <is>
          <t>м.п.</t>
        </is>
      </c>
      <c r="M35" s="67" t="n">
        <v>0</v>
      </c>
      <c r="N35" s="67">
        <f>SUM(X35:AZ35)</f>
        <v/>
      </c>
      <c r="O35" s="67" t="n"/>
      <c r="P35" s="67" t="n"/>
      <c r="Q35" s="413">
        <f>N35*V35+P35</f>
        <v/>
      </c>
      <c r="R35" s="67" t="inlineStr">
        <is>
          <t>м.п.</t>
        </is>
      </c>
      <c r="S35" s="67" t="n"/>
      <c r="T35" s="67" t="n"/>
      <c r="U35" s="471" t="inlineStr">
        <is>
          <t>Верхнее крепление утеплителя У4 к перекрытию</t>
        </is>
      </c>
      <c r="V35" s="67" t="n">
        <v>1</v>
      </c>
      <c r="W35" s="0" t="n">
        <v>0</v>
      </c>
    </row>
    <row r="36">
      <c r="A36" s="471" t="n"/>
      <c r="B36" s="471" t="inlineStr">
        <is>
          <t>13АВ-РД-АР1.1-К3</t>
        </is>
      </c>
      <c r="C36" s="380" t="n">
        <v>45974</v>
      </c>
      <c r="D36" s="67" t="inlineStr">
        <is>
          <t>Кладка</t>
        </is>
      </c>
      <c r="E36" s="67" t="n"/>
      <c r="F36" s="471" t="inlineStr">
        <is>
          <t>Утеплитель 150 мм</t>
        </is>
      </c>
      <c r="G36" s="471" t="inlineStr">
        <is>
          <t>Корпус 3</t>
        </is>
      </c>
      <c r="H36" s="67" t="n"/>
      <c r="I36" s="67" t="n"/>
      <c r="J36" s="419" t="n"/>
      <c r="K36" s="563" t="inlineStr">
        <is>
          <t>Вертикалное примыкание к ЖБ стенам</t>
        </is>
      </c>
      <c r="L36" s="381" t="inlineStr">
        <is>
          <t>м.п.</t>
        </is>
      </c>
      <c r="M36" s="364" t="n">
        <v>0</v>
      </c>
      <c r="N36" s="364">
        <f>W36</f>
        <v/>
      </c>
      <c r="O36" s="358" t="n">
        <v>0</v>
      </c>
      <c r="P36" s="358" t="n">
        <v>0</v>
      </c>
      <c r="Q36" s="364">
        <f>N36*V36+P36</f>
        <v/>
      </c>
      <c r="R36" s="358" t="inlineStr">
        <is>
          <t>м.п.</t>
        </is>
      </c>
      <c r="S36" s="67" t="n"/>
      <c r="T36" s="67" t="n"/>
      <c r="U36" s="563" t="inlineStr">
        <is>
          <t>Вертикалное примыкание к ЖБ стенам</t>
        </is>
      </c>
      <c r="V36" s="67" t="n">
        <v>1</v>
      </c>
      <c r="W36" s="0" t="n">
        <v>0</v>
      </c>
    </row>
    <row r="37">
      <c r="A37" s="346" t="inlineStr">
        <is>
          <t>мат.</t>
        </is>
      </c>
      <c r="B37" s="346" t="inlineStr">
        <is>
          <t>13АВ-РД-АР1.1-К3</t>
        </is>
      </c>
      <c r="C37" s="379" t="n">
        <v>45974</v>
      </c>
      <c r="D37" s="349" t="inlineStr">
        <is>
          <t>Кладка</t>
        </is>
      </c>
      <c r="E37" s="349" t="inlineStr">
        <is>
          <t>БАЗА</t>
        </is>
      </c>
      <c r="F37" s="346" t="inlineStr">
        <is>
          <t>Перегородка из бетонный камней 100 мм</t>
        </is>
      </c>
      <c r="G37" s="444" t="inlineStr">
        <is>
          <t>Корпус 3</t>
        </is>
      </c>
      <c r="H37" s="349" t="n"/>
      <c r="I37" s="349" t="inlineStr">
        <is>
          <t>м3</t>
        </is>
      </c>
      <c r="J37" s="439" t="n"/>
      <c r="K37" s="351" t="inlineStr">
        <is>
          <t>Перегородка из бетонный камней, полнотелый, толщиной 100
мм на клеевом растворе (REI 180)</t>
        </is>
      </c>
      <c r="L37" s="349" t="inlineStr">
        <is>
          <t>м3</t>
        </is>
      </c>
      <c r="M37" s="349" t="n">
        <v>36.58</v>
      </c>
      <c r="N37" s="349">
        <f>SUM(X37:AZ37)</f>
        <v/>
      </c>
      <c r="O37" s="349" t="n"/>
      <c r="P37" s="349" t="n"/>
      <c r="Q37" s="429">
        <f>N37*V37+P37</f>
        <v/>
      </c>
      <c r="R37" s="349" t="inlineStr">
        <is>
          <t>м3</t>
        </is>
      </c>
      <c r="S37" s="349" t="n"/>
      <c r="T37" s="349" t="n"/>
      <c r="U37" s="349" t="inlineStr">
        <is>
          <t>СВ 3.2</t>
        </is>
      </c>
      <c r="V37" s="349" t="n">
        <v>1</v>
      </c>
      <c r="W37" s="0" t="n">
        <v>0</v>
      </c>
    </row>
    <row r="38">
      <c r="A38" s="471" t="n"/>
      <c r="B38" s="471" t="inlineStr">
        <is>
          <t>13АВ-РД-АР1.1-К3</t>
        </is>
      </c>
      <c r="C38" s="380" t="n">
        <v>45974</v>
      </c>
      <c r="D38" s="67" t="inlineStr">
        <is>
          <t>Кладка</t>
        </is>
      </c>
      <c r="E38" s="67" t="n"/>
      <c r="F38" s="487" t="inlineStr">
        <is>
          <t>Перегородка из бетонный камней 100 мм</t>
        </is>
      </c>
      <c r="G38" s="487" t="inlineStr">
        <is>
          <t>Корпус 3</t>
        </is>
      </c>
      <c r="H38" s="421" t="n"/>
      <c r="I38" s="67" t="inlineStr">
        <is>
          <t>м.п.</t>
        </is>
      </c>
      <c r="J38" s="514" t="n"/>
      <c r="K38" s="563" t="inlineStr">
        <is>
          <t>Примыкание к плите перекрытия</t>
        </is>
      </c>
      <c r="L38" s="67" t="inlineStr">
        <is>
          <t>м.п.</t>
        </is>
      </c>
      <c r="M38" s="67" t="n">
        <v>0</v>
      </c>
      <c r="N38" s="67">
        <f>SUM(X38:AZ38)</f>
        <v/>
      </c>
      <c r="O38" s="67" t="n"/>
      <c r="P38" s="67" t="n"/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Верхнее крепление бетонных камней СВ 3.2 к перекрытию</t>
        </is>
      </c>
      <c r="V38" s="67" t="n">
        <v>1</v>
      </c>
      <c r="W38" s="0" t="n">
        <v>0</v>
      </c>
    </row>
    <row r="39">
      <c r="A39" s="471" t="n"/>
      <c r="B39" s="471" t="inlineStr">
        <is>
          <t>13АВ-РД-АР1.1-К3</t>
        </is>
      </c>
      <c r="C39" s="380" t="n">
        <v>45974</v>
      </c>
      <c r="D39" s="67" t="inlineStr">
        <is>
          <t>Кладка</t>
        </is>
      </c>
      <c r="E39" s="67" t="n"/>
      <c r="F39" s="471" t="inlineStr">
        <is>
          <t>Перегородка из бетонный камней 100 мм</t>
        </is>
      </c>
      <c r="G39" s="471" t="inlineStr">
        <is>
          <t>Корпус 3</t>
        </is>
      </c>
      <c r="H39" s="67" t="n"/>
      <c r="I39" s="67" t="n"/>
      <c r="J39" s="419" t="n"/>
      <c r="K39" s="563" t="inlineStr">
        <is>
          <t>Вертикалное примыкание к ЖБ стенам</t>
        </is>
      </c>
      <c r="L39" s="381" t="inlineStr">
        <is>
          <t>м.п.</t>
        </is>
      </c>
      <c r="M39" s="364" t="n">
        <v>0</v>
      </c>
      <c r="N39" s="364">
        <f>W39</f>
        <v/>
      </c>
      <c r="O39" s="358" t="n">
        <v>0</v>
      </c>
      <c r="P39" s="358" t="n">
        <v>0</v>
      </c>
      <c r="Q39" s="364">
        <f>N39*V39+P39</f>
        <v/>
      </c>
      <c r="R39" s="358" t="inlineStr">
        <is>
          <t>м.п.</t>
        </is>
      </c>
      <c r="S39" s="67" t="n"/>
      <c r="T39" s="67" t="n"/>
      <c r="U39" s="563" t="inlineStr">
        <is>
          <t>Вертикалное примыкание к ЖБ стенам</t>
        </is>
      </c>
      <c r="V39" s="67" t="n">
        <v>1</v>
      </c>
      <c r="W39" s="0" t="n">
        <v>0</v>
      </c>
    </row>
    <row r="40">
      <c r="A40" s="346" t="inlineStr">
        <is>
          <t>мат.</t>
        </is>
      </c>
      <c r="B40" s="346" t="inlineStr">
        <is>
          <t>13АВ-РД-АР1.1-К3</t>
        </is>
      </c>
      <c r="C40" s="379" t="n">
        <v>45974</v>
      </c>
      <c r="D40" s="349" t="inlineStr">
        <is>
          <t>Кладка</t>
        </is>
      </c>
      <c r="E40" s="349" t="inlineStr">
        <is>
          <t>БАЗА</t>
        </is>
      </c>
      <c r="F40" s="346" t="inlineStr">
        <is>
          <t>Перегородка из бетонный камней 80 мм</t>
        </is>
      </c>
      <c r="G40" s="444" t="inlineStr">
        <is>
          <t>Корпус 3</t>
        </is>
      </c>
      <c r="H40" s="349" t="n"/>
      <c r="I40" s="349" t="inlineStr">
        <is>
          <t>м2</t>
        </is>
      </c>
      <c r="J40" s="439" t="n"/>
      <c r="K40" s="351" t="inlineStr">
        <is>
          <t>Перегородка из бетонный камней, полнотелый, толщиной 80 мм
на клеевом растворе</t>
        </is>
      </c>
      <c r="L40" s="349" t="inlineStr">
        <is>
          <t>м2</t>
        </is>
      </c>
      <c r="M40" s="349" t="n">
        <v>74.34</v>
      </c>
      <c r="N40" s="349">
        <f>SUM(X40:AZ40)</f>
        <v/>
      </c>
      <c r="O40" s="349" t="n"/>
      <c r="P40" s="349" t="n"/>
      <c r="Q40" s="429">
        <f>N40*V40+P40</f>
        <v/>
      </c>
      <c r="R40" s="349" t="inlineStr">
        <is>
          <t>м2</t>
        </is>
      </c>
      <c r="S40" s="349" t="n"/>
      <c r="T40" s="349" t="n"/>
      <c r="U40" s="349" t="inlineStr">
        <is>
          <t>СВ 3.3</t>
        </is>
      </c>
      <c r="V40" s="349" t="n">
        <v>1</v>
      </c>
      <c r="W40" s="0" t="n">
        <v>0</v>
      </c>
    </row>
    <row r="41">
      <c r="A41" s="471" t="n"/>
      <c r="B41" s="471" t="inlineStr">
        <is>
          <t>13АВ-РД-АР1.1-К3</t>
        </is>
      </c>
      <c r="C41" s="380" t="n">
        <v>45974</v>
      </c>
      <c r="D41" s="67" t="inlineStr">
        <is>
          <t>Кладка</t>
        </is>
      </c>
      <c r="E41" s="67" t="n"/>
      <c r="F41" s="487" t="inlineStr">
        <is>
          <t>Перегородка из бетонный камней 80 мм</t>
        </is>
      </c>
      <c r="G41" s="487" t="inlineStr">
        <is>
          <t>Корпус 3</t>
        </is>
      </c>
      <c r="H41" s="421" t="n"/>
      <c r="I41" s="67" t="inlineStr">
        <is>
          <t>м.п.</t>
        </is>
      </c>
      <c r="J41" s="514" t="n"/>
      <c r="K41" s="563" t="inlineStr">
        <is>
          <t>Примыкание к плите перекрытия</t>
        </is>
      </c>
      <c r="L41" s="67" t="inlineStr">
        <is>
          <t>м.п.</t>
        </is>
      </c>
      <c r="M41" s="67" t="n">
        <v>0</v>
      </c>
      <c r="N41" s="67">
        <f>SUM(X41:AZ41)</f>
        <v/>
      </c>
      <c r="O41" s="67" t="n"/>
      <c r="P41" s="67" t="n"/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Верхнее крепление бетонных камней СВ 3.3 к перекрытию</t>
        </is>
      </c>
      <c r="V41" s="67" t="n">
        <v>1</v>
      </c>
      <c r="W41" s="0" t="n">
        <v>0</v>
      </c>
    </row>
    <row r="42">
      <c r="A42" s="471" t="n"/>
      <c r="B42" s="471" t="inlineStr">
        <is>
          <t>13АВ-РД-АР1.1-К3</t>
        </is>
      </c>
      <c r="C42" s="380" t="n">
        <v>45974</v>
      </c>
      <c r="D42" s="67" t="inlineStr">
        <is>
          <t>Кладка</t>
        </is>
      </c>
      <c r="E42" s="67" t="n"/>
      <c r="F42" s="471" t="inlineStr">
        <is>
          <t>Перегородка из бетонный камней 80 мм</t>
        </is>
      </c>
      <c r="G42" s="471" t="inlineStr">
        <is>
          <t>Корпус 3</t>
        </is>
      </c>
      <c r="H42" s="67" t="n"/>
      <c r="I42" s="67" t="n"/>
      <c r="J42" s="419" t="n"/>
      <c r="K42" s="563" t="inlineStr">
        <is>
          <t>Вертикалное примыкание к ЖБ стенам</t>
        </is>
      </c>
      <c r="L42" s="381" t="inlineStr">
        <is>
          <t>м.п.</t>
        </is>
      </c>
      <c r="M42" s="364" t="n">
        <v>0</v>
      </c>
      <c r="N42" s="364">
        <f>W42</f>
        <v/>
      </c>
      <c r="O42" s="358" t="n">
        <v>0</v>
      </c>
      <c r="P42" s="358" t="n">
        <v>0</v>
      </c>
      <c r="Q42" s="364">
        <f>N42*V42+P42</f>
        <v/>
      </c>
      <c r="R42" s="358" t="inlineStr">
        <is>
          <t>м.п.</t>
        </is>
      </c>
      <c r="S42" s="67" t="n"/>
      <c r="T42" s="67" t="n"/>
      <c r="U42" s="563" t="inlineStr">
        <is>
          <t>Вертикалное примыкание к ЖБ стенам</t>
        </is>
      </c>
      <c r="V42" s="67" t="n">
        <v>1</v>
      </c>
      <c r="W42" s="0" t="n">
        <v>0</v>
      </c>
    </row>
    <row r="43">
      <c r="A43" s="346" t="inlineStr">
        <is>
          <t>мат.</t>
        </is>
      </c>
      <c r="B43" s="346" t="inlineStr">
        <is>
          <t>13АВ-РД-АР1.1-К3</t>
        </is>
      </c>
      <c r="C43" s="379" t="n">
        <v>45974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Облицовка ГКЛВ на металокаркасе 27 мм</t>
        </is>
      </c>
      <c r="G43" s="444" t="inlineStr">
        <is>
          <t>Корпус 3</t>
        </is>
      </c>
      <c r="H43" s="349" t="n"/>
      <c r="I43" s="349" t="inlineStr">
        <is>
          <t>м2</t>
        </is>
      </c>
      <c r="J43" s="439" t="n"/>
      <c r="K43" s="351" t="inlineStr">
        <is>
          <t>Облицовка из ГКЛВ (2 слоя) на штатном металокаркасе (27мм)
с заполнением матами по типу "Шумостоп"</t>
        </is>
      </c>
      <c r="L43" s="349" t="inlineStr">
        <is>
          <t>м2</t>
        </is>
      </c>
      <c r="M43" s="349" t="n">
        <v>161.65</v>
      </c>
      <c r="N43" s="349">
        <f>SUM(X43:AZ43)</f>
        <v/>
      </c>
      <c r="O43" s="349" t="n"/>
      <c r="P43" s="349" t="n"/>
      <c r="Q43" s="429">
        <f>N43*V43+P43</f>
        <v/>
      </c>
      <c r="R43" s="349" t="inlineStr">
        <is>
          <t>м2</t>
        </is>
      </c>
      <c r="S43" s="349" t="n"/>
      <c r="T43" s="349" t="n"/>
      <c r="U43" s="349" t="inlineStr">
        <is>
          <t>СВ 4.1</t>
        </is>
      </c>
      <c r="V43" s="349" t="n">
        <v>1</v>
      </c>
      <c r="W43" s="0" t="n">
        <v>0</v>
      </c>
    </row>
    <row r="44">
      <c r="A44" s="471" t="n"/>
      <c r="B44" s="471" t="inlineStr">
        <is>
          <t>13АВ-РД-АР1.1-К3</t>
        </is>
      </c>
      <c r="C44" s="380" t="n">
        <v>45974</v>
      </c>
      <c r="D44" s="67" t="inlineStr">
        <is>
          <t>Кладка</t>
        </is>
      </c>
      <c r="E44" s="67" t="n"/>
      <c r="F44" s="487" t="inlineStr">
        <is>
          <t>Облицовка ГКЛВ на металокаркасе 27 мм</t>
        </is>
      </c>
      <c r="G44" s="487" t="inlineStr">
        <is>
          <t>Корпус 3</t>
        </is>
      </c>
      <c r="H44" s="421" t="n"/>
      <c r="I44" s="67" t="inlineStr">
        <is>
          <t>м.п.</t>
        </is>
      </c>
      <c r="J44" s="514" t="n"/>
      <c r="K44" s="563" t="inlineStr">
        <is>
          <t>Примыкание к плите перекрытия</t>
        </is>
      </c>
      <c r="L44" s="67" t="inlineStr">
        <is>
          <t>м.п.</t>
        </is>
      </c>
      <c r="M44" s="67" t="n">
        <v>0</v>
      </c>
      <c r="N44" s="67">
        <f>SUM(X44:AZ44)</f>
        <v/>
      </c>
      <c r="O44" s="67" t="n"/>
      <c r="P44" s="67" t="n"/>
      <c r="Q44" s="413">
        <f>N44*V44+P44</f>
        <v/>
      </c>
      <c r="R44" s="67" t="inlineStr">
        <is>
          <t>м.п.</t>
        </is>
      </c>
      <c r="S44" s="67" t="n"/>
      <c r="T44" s="67" t="n"/>
      <c r="U44" s="471" t="inlineStr">
        <is>
          <t>Верхнее крепление облицовки СВ 4.1 к перекрытию</t>
        </is>
      </c>
      <c r="V44" s="67" t="n">
        <v>1</v>
      </c>
      <c r="W44" s="0" t="n">
        <v>0</v>
      </c>
    </row>
    <row r="45">
      <c r="A45" s="471" t="n"/>
      <c r="B45" s="471" t="inlineStr">
        <is>
          <t>13АВ-РД-АР1.1-К3</t>
        </is>
      </c>
      <c r="C45" s="380" t="n">
        <v>45974</v>
      </c>
      <c r="D45" s="67" t="inlineStr">
        <is>
          <t>Кладка</t>
        </is>
      </c>
      <c r="E45" s="67" t="n"/>
      <c r="F45" s="471" t="inlineStr">
        <is>
          <t>Облицовка ГКЛВ на металокаркасе 27 мм</t>
        </is>
      </c>
      <c r="G45" s="471" t="inlineStr">
        <is>
          <t>Корпус 3</t>
        </is>
      </c>
      <c r="H45" s="67" t="n"/>
      <c r="I45" s="67" t="n"/>
      <c r="J45" s="419" t="n"/>
      <c r="K45" s="563" t="inlineStr">
        <is>
          <t>Вертикалное примыкание к ЖБ стенам</t>
        </is>
      </c>
      <c r="L45" s="67" t="inlineStr">
        <is>
          <t>м.п.</t>
        </is>
      </c>
      <c r="M45" s="67" t="n">
        <v>0</v>
      </c>
      <c r="N45" s="67">
        <f>SUM(X45:AZ45)</f>
        <v/>
      </c>
      <c r="O45" s="67" t="n"/>
      <c r="P45" s="67" t="n"/>
      <c r="Q45" s="413">
        <f>N45*V45+P45</f>
        <v/>
      </c>
      <c r="R45" s="67" t="inlineStr">
        <is>
          <t>м.п.</t>
        </is>
      </c>
      <c r="S45" s="67" t="n"/>
      <c r="T45" s="67" t="n"/>
      <c r="U45" s="563" t="inlineStr">
        <is>
          <t>Вертикалное примыкание к ЖБ стенам</t>
        </is>
      </c>
      <c r="V45" s="67" t="n">
        <v>1</v>
      </c>
      <c r="W45" s="0" t="n">
        <v>0</v>
      </c>
    </row>
    <row r="46">
      <c r="A46" s="346" t="inlineStr">
        <is>
          <t>мат.</t>
        </is>
      </c>
      <c r="B46" s="346" t="inlineStr">
        <is>
          <t>13АВ-РД-АР1.1-К3</t>
        </is>
      </c>
      <c r="C46" s="379" t="n">
        <v>45974</v>
      </c>
      <c r="D46" s="349" t="inlineStr">
        <is>
          <t>Кладка</t>
        </is>
      </c>
      <c r="E46" s="349" t="inlineStr">
        <is>
          <t>БАЗА</t>
        </is>
      </c>
      <c r="F46" s="346" t="inlineStr">
        <is>
          <t>Фахверк СТФ</t>
        </is>
      </c>
      <c r="G46" s="444" t="inlineStr">
        <is>
          <t>Корпус 3</t>
        </is>
      </c>
      <c r="H46" s="349" t="n"/>
      <c r="I46" s="349" t="n"/>
      <c r="J46" s="439" t="n"/>
      <c r="K46" s="349" t="inlineStr">
        <is>
          <t>Уголок ГОСТ 8509-93/ С245 ГОСТ 27772-2021</t>
        </is>
      </c>
      <c r="L46" s="349" t="inlineStr">
        <is>
          <t>т</t>
        </is>
      </c>
      <c r="M46" s="429" t="n">
        <v>0</v>
      </c>
      <c r="N46" s="429">
        <f>((58.67*53)+(55.56*6)+(62*4)+(66.29*4))/1000</f>
        <v/>
      </c>
      <c r="O46" s="349" t="n"/>
      <c r="P46" s="349" t="n"/>
      <c r="Q46" s="429">
        <f>((58.67*53)+(55.56*6)+(62*4)+(66.29*4))/1000</f>
        <v/>
      </c>
      <c r="R46" s="349" t="inlineStr">
        <is>
          <t>т</t>
        </is>
      </c>
      <c r="S46" s="349" t="n"/>
      <c r="T46" s="349" t="n"/>
      <c r="U46" s="349" t="inlineStr">
        <is>
          <t>Стф-1
Стф-2
Стф-3
Стф-4</t>
        </is>
      </c>
      <c r="V46" s="349" t="n">
        <v>1</v>
      </c>
      <c r="W46" s="0" t="n">
        <v>0</v>
      </c>
    </row>
    <row r="47">
      <c r="A47" s="471" t="inlineStr">
        <is>
          <t>мат.</t>
        </is>
      </c>
      <c r="B47" s="471" t="inlineStr">
        <is>
          <t>13АВ-РД-АР1.1-К3</t>
        </is>
      </c>
      <c r="C47" s="380" t="n">
        <v>45974</v>
      </c>
      <c r="D47" s="67" t="inlineStr">
        <is>
          <t>Кладка</t>
        </is>
      </c>
      <c r="E47" s="67" t="n"/>
      <c r="F47" s="471" t="inlineStr">
        <is>
          <t>Фахверк СТФ</t>
        </is>
      </c>
      <c r="G47" s="471" t="inlineStr">
        <is>
          <t>Корпус 3</t>
        </is>
      </c>
      <c r="H47" s="67" t="n"/>
      <c r="I47" s="67" t="n"/>
      <c r="J47" s="419" t="n"/>
      <c r="K47" s="471" t="inlineStr">
        <is>
          <t>Лист ГОСТ 19903-2015/ С245 ГОСТ 27772-2021</t>
        </is>
      </c>
      <c r="L47" s="67" t="inlineStr">
        <is>
          <t>т</t>
        </is>
      </c>
      <c r="M47" s="67" t="n">
        <v>0</v>
      </c>
      <c r="N47" s="413">
        <f>(((3.85+3.14+1.54)*53)+((3.85+3.14+1.54)*6)+((3.85+3.14+1.54)*4)+((3.85+3.14+1.54)*4))/1000</f>
        <v/>
      </c>
      <c r="O47" s="67" t="n"/>
      <c r="P47" s="67" t="n"/>
      <c r="Q47" s="413">
        <f>(((3.85+3.14+1.54)*53)+((3.85+3.14+1.54)*6)+((3.85+3.14+1.54)*4)+((3.85+3.14+1.54)*4))/1000</f>
        <v/>
      </c>
      <c r="R47" s="67" t="inlineStr">
        <is>
          <t>т</t>
        </is>
      </c>
      <c r="S47" s="67" t="n"/>
      <c r="T47" s="67" t="n"/>
      <c r="U47" s="563" t="n"/>
      <c r="V47" s="67" t="n">
        <v>1</v>
      </c>
      <c r="W47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0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0" t="inlineStr">
        <is>
          <t>Кол-во на этаже 1 (сверено с ПД floor-1)</t>
        </is>
      </c>
    </row>
    <row r="4">
      <c r="A4" s="408" t="inlineStr">
        <is>
          <t>мат.</t>
        </is>
      </c>
      <c r="B4" s="408" t="inlineStr">
        <is>
          <t>13АВ-РД-АР1.1-К4</t>
        </is>
      </c>
      <c r="C4" s="406" t="n">
        <v>45987</v>
      </c>
      <c r="D4" s="408" t="inlineStr">
        <is>
          <t>Кладка</t>
        </is>
      </c>
      <c r="E4" s="408" t="inlineStr">
        <is>
          <t>БАЗА</t>
        </is>
      </c>
      <c r="F4" s="407" t="inlineStr">
        <is>
          <t>Наружные стены D600 250 мм</t>
        </is>
      </c>
      <c r="G4" s="408" t="inlineStr">
        <is>
          <t>Корпус 4</t>
        </is>
      </c>
      <c r="H4" s="408" t="n"/>
      <c r="I4" s="408" t="inlineStr">
        <is>
          <t>м3</t>
        </is>
      </c>
      <c r="J4" s="409">
        <f>IF(AND(E4="БАЗА",I4=L4),N4,IF(E4&lt;&gt;"БАЗА","0",IF(I4&lt;&gt;L4,"Пересчет")))</f>
        <v/>
      </c>
      <c r="K4" s="410" t="inlineStr">
        <is>
          <t>Газобетонные блоки D600 толщиной 250 мм, ГОСТ 31359-2007</t>
        </is>
      </c>
      <c r="L4" s="408" t="inlineStr">
        <is>
          <t>м3</t>
        </is>
      </c>
      <c r="M4" s="408" t="n">
        <v>240.61</v>
      </c>
      <c r="N4" s="417">
        <f>W4</f>
        <v/>
      </c>
      <c r="O4" s="408" t="n">
        <v>0</v>
      </c>
      <c r="P4" s="408" t="n">
        <v>0</v>
      </c>
      <c r="Q4" s="412">
        <f>N4*V4+P4</f>
        <v/>
      </c>
      <c r="R4" s="408" t="inlineStr">
        <is>
          <t>м3</t>
        </is>
      </c>
      <c r="S4" s="408" t="n"/>
      <c r="T4" s="408" t="n"/>
      <c r="U4" s="407" t="inlineStr">
        <is>
          <t>СН-1.2</t>
        </is>
      </c>
      <c r="V4" s="408" t="n">
        <v>1</v>
      </c>
      <c r="W4" s="0" t="n">
        <v>1.03</v>
      </c>
    </row>
    <row r="5" s="1227">
      <c r="A5" s="67" t="n"/>
      <c r="B5" s="67" t="inlineStr">
        <is>
          <t>13АВ-РД-АР1.1-К4</t>
        </is>
      </c>
      <c r="C5" s="380" t="n">
        <v>45881</v>
      </c>
      <c r="D5" s="67" t="inlineStr">
        <is>
          <t>Кладка</t>
        </is>
      </c>
      <c r="E5" s="67" t="n"/>
      <c r="F5" s="471" t="inlineStr">
        <is>
          <t>Наружные стены D600 250 мм</t>
        </is>
      </c>
      <c r="G5" s="67" t="inlineStr">
        <is>
          <t>Корпус 4</t>
        </is>
      </c>
      <c r="H5" s="67" t="n"/>
      <c r="I5" s="67" t="n"/>
      <c r="J5" s="419" t="n"/>
      <c r="K5" s="563" t="inlineStr">
        <is>
          <t>Примыкание к плите перекрытия</t>
        </is>
      </c>
      <c r="L5" s="67" t="inlineStr">
        <is>
          <t>м.п.</t>
        </is>
      </c>
      <c r="M5" s="67" t="n">
        <v>0</v>
      </c>
      <c r="N5" s="417">
        <f>W5</f>
        <v/>
      </c>
      <c r="O5" s="67" t="n">
        <v>0</v>
      </c>
      <c r="P5" s="67" t="n">
        <v>0</v>
      </c>
      <c r="Q5" s="413">
        <f>N5*V5+P5</f>
        <v/>
      </c>
      <c r="R5" s="67" t="inlineStr">
        <is>
          <t>м.п.</t>
        </is>
      </c>
      <c r="S5" s="67" t="n"/>
      <c r="T5" s="67" t="n"/>
      <c r="U5" s="471" t="inlineStr">
        <is>
          <t>Длина стен СН-1.2</t>
        </is>
      </c>
      <c r="V5" s="67" t="n">
        <v>1</v>
      </c>
      <c r="W5" s="0" t="n">
        <v>0</v>
      </c>
    </row>
    <row r="6" s="1227">
      <c r="A6" s="67" t="n"/>
      <c r="B6" s="67" t="inlineStr">
        <is>
          <t>13АВ-РД-АР1.1-К4</t>
        </is>
      </c>
      <c r="C6" s="380" t="n">
        <v>45881</v>
      </c>
      <c r="D6" s="67" t="inlineStr">
        <is>
          <t>Кладка</t>
        </is>
      </c>
      <c r="E6" s="67" t="n"/>
      <c r="F6" s="471" t="inlineStr">
        <is>
          <t>Наружные стены D600 250 мм</t>
        </is>
      </c>
      <c r="G6" s="67" t="inlineStr">
        <is>
          <t>Корпус 4</t>
        </is>
      </c>
      <c r="H6" s="67" t="n"/>
      <c r="I6" s="67" t="n"/>
      <c r="J6" s="419" t="n"/>
      <c r="K6" s="563" t="inlineStr">
        <is>
          <t>Крепление газобетонных блоков к жб стенам</t>
        </is>
      </c>
      <c r="L6" s="67" t="inlineStr">
        <is>
          <t>м.п.</t>
        </is>
      </c>
      <c r="M6" s="67" t="n">
        <v>0</v>
      </c>
      <c r="N6" s="417">
        <f>W6</f>
        <v/>
      </c>
      <c r="O6" s="67" t="n">
        <v>0</v>
      </c>
      <c r="P6" s="67" t="n">
        <v>0</v>
      </c>
      <c r="Q6" s="413">
        <f>N6*V6+P6</f>
        <v/>
      </c>
      <c r="R6" s="67" t="inlineStr">
        <is>
          <t>м.п.</t>
        </is>
      </c>
      <c r="S6" s="67" t="n"/>
      <c r="T6" s="67" t="n"/>
      <c r="U6" s="471" t="inlineStr">
        <is>
          <t>Крепление стен СН-1.2 к железобетоным стенам. Узел А</t>
        </is>
      </c>
      <c r="V6" s="67" t="n"/>
      <c r="W6" s="0" t="n">
        <v>0</v>
      </c>
    </row>
    <row r="7">
      <c r="A7" s="408" t="inlineStr">
        <is>
          <t>мат.</t>
        </is>
      </c>
      <c r="B7" s="408" t="inlineStr">
        <is>
          <t>13АВ-РД-АР1.1-К4</t>
        </is>
      </c>
      <c r="C7" s="406" t="n">
        <v>45987</v>
      </c>
      <c r="D7" s="408" t="inlineStr">
        <is>
          <t>Кладка</t>
        </is>
      </c>
      <c r="E7" s="408" t="inlineStr">
        <is>
          <t>БАЗА</t>
        </is>
      </c>
      <c r="F7" s="407" t="inlineStr">
        <is>
          <t>Внутренние стены D600 200 мм</t>
        </is>
      </c>
      <c r="G7" s="408" t="inlineStr">
        <is>
          <t>Корпус 4</t>
        </is>
      </c>
      <c r="H7" s="408" t="n"/>
      <c r="I7" s="408" t="inlineStr">
        <is>
          <t>м3</t>
        </is>
      </c>
      <c r="J7" s="409">
        <f>IF(AND(E7="БАЗА",I7=L7),N7,IF(E7&lt;&gt;"БАЗА","0",IF(I7&lt;&gt;L7,"Пересчет")))</f>
        <v/>
      </c>
      <c r="K7" s="410" t="inlineStr">
        <is>
          <t>Газобетонные блоки D600 толщиной 200 мм, ГОСТ 31359-2007</t>
        </is>
      </c>
      <c r="L7" s="408" t="inlineStr">
        <is>
          <t>м3</t>
        </is>
      </c>
      <c r="M7" s="408" t="n">
        <v>651.85</v>
      </c>
      <c r="N7" s="417">
        <f>W7</f>
        <v/>
      </c>
      <c r="O7" s="408" t="n">
        <v>0</v>
      </c>
      <c r="P7" s="408" t="n">
        <v>0</v>
      </c>
      <c r="Q7" s="412">
        <f>N7*V7+P7</f>
        <v/>
      </c>
      <c r="R7" s="408" t="inlineStr">
        <is>
          <t>м3</t>
        </is>
      </c>
      <c r="S7" s="408" t="n"/>
      <c r="T7" s="408" t="n"/>
      <c r="U7" s="408" t="inlineStr">
        <is>
          <t>СВ-1.0</t>
        </is>
      </c>
      <c r="V7" s="408" t="n">
        <v>1</v>
      </c>
      <c r="W7" s="0" t="n">
        <v>9.236000000000001</v>
      </c>
    </row>
    <row r="8" s="1227">
      <c r="A8" s="67" t="inlineStr">
        <is>
          <t>мат.</t>
        </is>
      </c>
      <c r="B8" s="67" t="inlineStr">
        <is>
          <t>13АВ-РД-АР1.1-К4</t>
        </is>
      </c>
      <c r="C8" s="380" t="n">
        <v>45987</v>
      </c>
      <c r="D8" s="67" t="inlineStr">
        <is>
          <t>Кладка</t>
        </is>
      </c>
      <c r="E8" s="67" t="n"/>
      <c r="F8" s="471" t="inlineStr">
        <is>
          <t>Перемычки внутренних стен D600 200 мм</t>
        </is>
      </c>
      <c r="G8" s="67" t="inlineStr">
        <is>
          <t>Корпус 4</t>
        </is>
      </c>
      <c r="H8" s="67" t="n"/>
      <c r="I8" s="67" t="inlineStr">
        <is>
          <t>т</t>
        </is>
      </c>
      <c r="J8" s="413">
        <f>293.41/1000</f>
        <v/>
      </c>
      <c r="K8" s="563" t="inlineStr">
        <is>
          <t>Пластина 50х4</t>
        </is>
      </c>
      <c r="L8" s="67" t="inlineStr">
        <is>
          <t>т</t>
        </is>
      </c>
      <c r="M8" s="67" t="n"/>
      <c r="N8" s="415">
        <f>293.41/1000</f>
        <v/>
      </c>
      <c r="O8" s="67" t="n">
        <v>0</v>
      </c>
      <c r="P8" s="67" t="n">
        <v>0</v>
      </c>
      <c r="Q8" s="413">
        <f>293.41/1000</f>
        <v/>
      </c>
      <c r="R8" s="67" t="inlineStr">
        <is>
          <t>т</t>
        </is>
      </c>
      <c r="S8" s="67" t="n"/>
      <c r="T8" s="67" t="n"/>
      <c r="U8" s="67" t="inlineStr">
        <is>
          <t>ПР-2.1 - 100 шт
ПР-2.2 - 33 шт
ПР-2.4 -34 шт
ПР-2.9 - 17 шт</t>
        </is>
      </c>
      <c r="V8" s="67" t="n"/>
    </row>
    <row r="9" s="1227">
      <c r="A9" s="67" t="inlineStr">
        <is>
          <t>мат.</t>
        </is>
      </c>
      <c r="B9" s="67" t="inlineStr">
        <is>
          <t>13АВ-РД-АР1.1-К4</t>
        </is>
      </c>
      <c r="C9" s="380" t="n">
        <v>45987</v>
      </c>
      <c r="D9" s="67" t="inlineStr">
        <is>
          <t>Кладка</t>
        </is>
      </c>
      <c r="E9" s="67" t="n"/>
      <c r="F9" s="471" t="inlineStr">
        <is>
          <t>Перемычки внутренних стен D600 200 мм</t>
        </is>
      </c>
      <c r="G9" s="67" t="inlineStr">
        <is>
          <t>Корпус 4</t>
        </is>
      </c>
      <c r="H9" s="67" t="n"/>
      <c r="I9" s="67" t="inlineStr">
        <is>
          <t>т</t>
        </is>
      </c>
      <c r="J9" s="413">
        <f>1560.924/1000</f>
        <v/>
      </c>
      <c r="K9" s="563" t="inlineStr">
        <is>
          <t>Уголок 40х5</t>
        </is>
      </c>
      <c r="L9" s="67" t="inlineStr">
        <is>
          <t>т</t>
        </is>
      </c>
      <c r="M9" s="67" t="n"/>
      <c r="N9" s="415">
        <f>1560.924/1000</f>
        <v/>
      </c>
      <c r="O9" s="67" t="n">
        <v>0</v>
      </c>
      <c r="P9" s="67" t="n">
        <v>0</v>
      </c>
      <c r="Q9" s="413">
        <f>1560.924/1000</f>
        <v/>
      </c>
      <c r="R9" s="67" t="inlineStr">
        <is>
          <t>т</t>
        </is>
      </c>
      <c r="S9" s="67" t="n"/>
      <c r="T9" s="67" t="n"/>
      <c r="U9" s="67" t="n"/>
      <c r="V9" s="67" t="n"/>
    </row>
    <row r="10" s="1227">
      <c r="A10" s="67" t="inlineStr">
        <is>
          <t>мат.</t>
        </is>
      </c>
      <c r="B10" s="67" t="inlineStr">
        <is>
          <t>13АВ-РД-АР1.1-К4</t>
        </is>
      </c>
      <c r="C10" s="380" t="n">
        <v>45987</v>
      </c>
      <c r="D10" s="67" t="inlineStr">
        <is>
          <t>Кладка</t>
        </is>
      </c>
      <c r="E10" s="67" t="n"/>
      <c r="F10" s="471" t="inlineStr">
        <is>
          <t>Перемычки внутренних стен D600 200 мм</t>
        </is>
      </c>
      <c r="G10" s="67" t="inlineStr">
        <is>
          <t>Корпус 4</t>
        </is>
      </c>
      <c r="H10" s="67" t="n"/>
      <c r="I10" s="67" t="inlineStr">
        <is>
          <t>т</t>
        </is>
      </c>
      <c r="J10" s="413">
        <f>95.68/1000</f>
        <v/>
      </c>
      <c r="K10" s="563" t="inlineStr">
        <is>
          <t>Уголок 80х6 ГОСТ 8509-93</t>
        </is>
      </c>
      <c r="L10" s="67" t="inlineStr">
        <is>
          <t>т</t>
        </is>
      </c>
      <c r="M10" s="67" t="n">
        <v>0.0711</v>
      </c>
      <c r="N10" s="415">
        <f>95.68/1000</f>
        <v/>
      </c>
      <c r="O10" s="67" t="n">
        <v>0</v>
      </c>
      <c r="P10" s="67" t="n">
        <v>0</v>
      </c>
      <c r="Q10" s="413">
        <f>95.68/1000</f>
        <v/>
      </c>
      <c r="R10" s="67" t="inlineStr">
        <is>
          <t>т</t>
        </is>
      </c>
      <c r="S10" s="67" t="n"/>
      <c r="T10" s="67" t="n"/>
      <c r="U10" s="67" t="n"/>
      <c r="V10" s="67" t="n"/>
    </row>
    <row r="11" s="1227">
      <c r="A11" s="67" t="inlineStr">
        <is>
          <t>мат.</t>
        </is>
      </c>
      <c r="B11" s="67" t="inlineStr">
        <is>
          <t>13АВ-РД-АР1.1-К4</t>
        </is>
      </c>
      <c r="C11" s="380" t="n">
        <v>45987</v>
      </c>
      <c r="D11" s="67" t="inlineStr">
        <is>
          <t>Кладка</t>
        </is>
      </c>
      <c r="E11" s="67" t="n"/>
      <c r="F11" s="471" t="inlineStr">
        <is>
          <t>Перемычки внутренних стен D600 200 мм</t>
        </is>
      </c>
      <c r="G11" s="67" t="inlineStr">
        <is>
          <t>Корпус 4</t>
        </is>
      </c>
      <c r="H11" s="67" t="n"/>
      <c r="I11" s="67" t="n"/>
      <c r="J11" s="419" t="n"/>
      <c r="K11" s="563" t="inlineStr">
        <is>
          <t>Крепление газобетонных блоков к жб стенам</t>
        </is>
      </c>
      <c r="L11" s="67" t="inlineStr">
        <is>
          <t>м.п.</t>
        </is>
      </c>
      <c r="M11" s="67" t="n">
        <v>0</v>
      </c>
      <c r="N11" s="417">
        <f>W11</f>
        <v/>
      </c>
      <c r="O11" s="67" t="n">
        <v>0</v>
      </c>
      <c r="P11" s="67" t="n">
        <v>0</v>
      </c>
      <c r="Q11" s="413">
        <f>N11*V11+P11</f>
        <v/>
      </c>
      <c r="R11" s="67" t="inlineStr">
        <is>
          <t>м.п.</t>
        </is>
      </c>
      <c r="S11" s="67" t="n"/>
      <c r="T11" s="67" t="n"/>
      <c r="U11" s="67" t="n"/>
      <c r="V11" s="67" t="n">
        <v>1</v>
      </c>
      <c r="W11" s="0" t="n">
        <v>0</v>
      </c>
    </row>
    <row r="12" s="1227">
      <c r="A12" s="67" t="inlineStr">
        <is>
          <t>мат.</t>
        </is>
      </c>
      <c r="B12" s="67" t="inlineStr">
        <is>
          <t>13АВ-РД-АР1.1-К4</t>
        </is>
      </c>
      <c r="C12" s="380" t="n">
        <v>45987</v>
      </c>
      <c r="D12" s="67" t="inlineStr">
        <is>
          <t>Кладка</t>
        </is>
      </c>
      <c r="E12" s="67" t="n"/>
      <c r="F12" s="471" t="inlineStr">
        <is>
          <t>Перемычки внутренних стен D600 200 мм</t>
        </is>
      </c>
      <c r="G12" s="67" t="inlineStr">
        <is>
          <t>Корпус 4</t>
        </is>
      </c>
      <c r="H12" s="67" t="n"/>
      <c r="I12" s="67" t="n"/>
      <c r="J12" s="419" t="n"/>
      <c r="K12" s="563" t="inlineStr">
        <is>
          <t>Примыкание к плите перекрытия</t>
        </is>
      </c>
      <c r="L12" s="67" t="inlineStr">
        <is>
          <t>м.п.</t>
        </is>
      </c>
      <c r="M12" s="67" t="n">
        <v>0</v>
      </c>
      <c r="N12" s="417">
        <f>W12</f>
        <v/>
      </c>
      <c r="O12" s="67" t="n">
        <v>0</v>
      </c>
      <c r="P12" s="67" t="n">
        <v>0</v>
      </c>
      <c r="Q12" s="413">
        <f>N12*V12+P12</f>
        <v/>
      </c>
      <c r="R12" s="67" t="inlineStr">
        <is>
          <t>м.п.</t>
        </is>
      </c>
      <c r="S12" s="67" t="n"/>
      <c r="T12" s="67" t="n"/>
      <c r="U12" s="67" t="n"/>
      <c r="V12" s="67" t="n">
        <v>1</v>
      </c>
      <c r="W12" s="0" t="n">
        <v>0</v>
      </c>
    </row>
    <row r="13">
      <c r="A13" s="408" t="inlineStr">
        <is>
          <t>мат.</t>
        </is>
      </c>
      <c r="B13" s="408" t="inlineStr">
        <is>
          <t>13АВ-РД-АР1.1-К4</t>
        </is>
      </c>
      <c r="C13" s="406" t="n">
        <v>45987</v>
      </c>
      <c r="D13" s="408" t="inlineStr">
        <is>
          <t>Кладка</t>
        </is>
      </c>
      <c r="E13" s="408" t="inlineStr">
        <is>
          <t>БАЗА</t>
        </is>
      </c>
      <c r="F13" s="407" t="inlineStr">
        <is>
          <t>Внутренние стены D600 250 мм</t>
        </is>
      </c>
      <c r="G13" s="408" t="inlineStr">
        <is>
          <t>Корпус 4</t>
        </is>
      </c>
      <c r="H13" s="408" t="n"/>
      <c r="I13" s="408" t="inlineStr">
        <is>
          <t>м3</t>
        </is>
      </c>
      <c r="J13" s="409">
        <f>IF(AND(E13="БАЗА",I13=L13),N13,IF(E13&lt;&gt;"БАЗА","0",IF(I13&lt;&gt;L13,"Пересчет")))</f>
        <v/>
      </c>
      <c r="K13" s="410" t="inlineStr">
        <is>
          <t>Газобетонные блоки D600 толщиной 250 мм, ГОСТ 31359-2007</t>
        </is>
      </c>
      <c r="L13" s="408" t="inlineStr">
        <is>
          <t>м3</t>
        </is>
      </c>
      <c r="M13" s="408" t="n">
        <v>28.47</v>
      </c>
      <c r="N13" s="417">
        <f>W13</f>
        <v/>
      </c>
      <c r="O13" s="408" t="n">
        <v>0</v>
      </c>
      <c r="P13" s="408" t="n">
        <v>0</v>
      </c>
      <c r="Q13" s="412">
        <f>N13*V13+P13</f>
        <v/>
      </c>
      <c r="R13" s="408" t="inlineStr">
        <is>
          <t>м3</t>
        </is>
      </c>
      <c r="S13" s="408" t="n"/>
      <c r="T13" s="408" t="n"/>
      <c r="U13" s="408" t="inlineStr">
        <is>
          <t>СВ-1.1</t>
        </is>
      </c>
      <c r="V13" s="408" t="n">
        <v>1</v>
      </c>
      <c r="W13" s="0" t="n">
        <v>2.782</v>
      </c>
    </row>
    <row r="14" s="1227">
      <c r="A14" s="67" t="n"/>
      <c r="B14" s="67" t="inlineStr">
        <is>
          <t>13АВ-РД-АР1.1-К4</t>
        </is>
      </c>
      <c r="C14" s="380" t="n">
        <v>45881</v>
      </c>
      <c r="D14" s="67" t="inlineStr">
        <is>
          <t>Кладка</t>
        </is>
      </c>
      <c r="E14" s="67" t="n"/>
      <c r="F14" s="471" t="inlineStr">
        <is>
          <t>Внутренние стены D600 250 мм</t>
        </is>
      </c>
      <c r="G14" s="67" t="inlineStr">
        <is>
          <t>Корпус 4</t>
        </is>
      </c>
      <c r="H14" s="67" t="n"/>
      <c r="I14" s="67" t="n"/>
      <c r="J14" s="419" t="n"/>
      <c r="K14" s="563" t="inlineStr">
        <is>
          <t>Примыкание к плите перекрытия</t>
        </is>
      </c>
      <c r="L14" s="67" t="inlineStr">
        <is>
          <t>м.п.</t>
        </is>
      </c>
      <c r="M14" s="67" t="n">
        <v>0</v>
      </c>
      <c r="N14" s="417">
        <f>W14</f>
        <v/>
      </c>
      <c r="O14" s="67" t="n">
        <v>0</v>
      </c>
      <c r="P14" s="67" t="n">
        <v>0</v>
      </c>
      <c r="Q14" s="413">
        <f>N14*V14+P14</f>
        <v/>
      </c>
      <c r="R14" s="67" t="inlineStr">
        <is>
          <t>м.п.</t>
        </is>
      </c>
      <c r="S14" s="67" t="n"/>
      <c r="T14" s="67" t="n"/>
      <c r="U14" s="471" t="inlineStr">
        <is>
          <t>Верхнее крепление газобетонных блоков СВ-1.1 к перекрытию (узел Б1)</t>
        </is>
      </c>
      <c r="V14" s="67" t="n">
        <v>1</v>
      </c>
      <c r="W14" s="0" t="n">
        <v>0</v>
      </c>
    </row>
    <row r="15" s="1227">
      <c r="A15" s="67" t="n"/>
      <c r="B15" s="67" t="inlineStr">
        <is>
          <t>13АВ-РД-АР1.1-К4</t>
        </is>
      </c>
      <c r="C15" s="380" t="n">
        <v>45881</v>
      </c>
      <c r="D15" s="67" t="inlineStr">
        <is>
          <t>Кладка</t>
        </is>
      </c>
      <c r="E15" s="67" t="n"/>
      <c r="F15" s="471" t="inlineStr">
        <is>
          <t>Внутренние стены D600 250 мм</t>
        </is>
      </c>
      <c r="G15" s="67" t="inlineStr">
        <is>
          <t>Корпус 4</t>
        </is>
      </c>
      <c r="H15" s="67" t="n"/>
      <c r="I15" s="67" t="n"/>
      <c r="J15" s="419" t="n"/>
      <c r="K15" s="563" t="inlineStr">
        <is>
          <t>Крепление газобетонных блоков к жб стенам</t>
        </is>
      </c>
      <c r="L15" s="67" t="inlineStr">
        <is>
          <t>м.п.</t>
        </is>
      </c>
      <c r="M15" s="67" t="n">
        <v>0</v>
      </c>
      <c r="N15" s="417">
        <f>W15</f>
        <v/>
      </c>
      <c r="O15" s="67" t="n">
        <v>0</v>
      </c>
      <c r="P15" s="67" t="n">
        <v>0</v>
      </c>
      <c r="Q15" s="413">
        <f>N15*V15+P15</f>
        <v/>
      </c>
      <c r="R15" s="67" t="inlineStr">
        <is>
          <t>м.п.</t>
        </is>
      </c>
      <c r="S15" s="67" t="n"/>
      <c r="T15" s="67" t="n"/>
      <c r="U15" s="471" t="inlineStr">
        <is>
          <t>Крепление стен СВ-1.1 к железобетоным стенам. Узел А</t>
        </is>
      </c>
      <c r="V15" s="67" t="n"/>
      <c r="W15" s="0" t="n">
        <v>0</v>
      </c>
    </row>
    <row r="16" s="1227">
      <c r="A16" s="67" t="inlineStr">
        <is>
          <t>мат.</t>
        </is>
      </c>
      <c r="B16" s="67" t="inlineStr">
        <is>
          <t>13АВ-РД-АР1.1-К4</t>
        </is>
      </c>
      <c r="C16" s="380" t="n">
        <v>45881</v>
      </c>
      <c r="D16" s="67" t="inlineStr">
        <is>
          <t>Кладка</t>
        </is>
      </c>
      <c r="E16" s="67" t="n"/>
      <c r="F16" s="471" t="inlineStr">
        <is>
          <t>Перемычки внутренних стен D600 250 мм</t>
        </is>
      </c>
      <c r="G16" s="67" t="inlineStr">
        <is>
          <t>Корпус 4</t>
        </is>
      </c>
      <c r="H16" s="67" t="n"/>
      <c r="I16" s="67" t="inlineStr">
        <is>
          <t>т</t>
        </is>
      </c>
      <c r="J16" s="413">
        <f>31.1/1000</f>
        <v/>
      </c>
      <c r="K16" s="563" t="inlineStr">
        <is>
          <t>Пластина 50х4</t>
        </is>
      </c>
      <c r="L16" s="67" t="inlineStr">
        <is>
          <t>т</t>
        </is>
      </c>
      <c r="M16" s="67" t="n"/>
      <c r="N16" s="415">
        <f>31.1/1000</f>
        <v/>
      </c>
      <c r="O16" s="67" t="n"/>
      <c r="P16" s="67" t="n"/>
      <c r="Q16" s="413">
        <f>31.1/1000</f>
        <v/>
      </c>
      <c r="R16" s="67" t="inlineStr">
        <is>
          <t>т</t>
        </is>
      </c>
      <c r="S16" s="67" t="n"/>
      <c r="T16" s="67" t="n"/>
      <c r="U16" s="471" t="inlineStr">
        <is>
          <t>ПР-2.3 - 17 шт
ПР - 1.13 - 16 шт
ПР - 1.14 - 16 шт</t>
        </is>
      </c>
      <c r="V16" s="67" t="n"/>
    </row>
    <row r="17" s="1227">
      <c r="A17" s="67" t="inlineStr">
        <is>
          <t>мат.</t>
        </is>
      </c>
      <c r="B17" s="67" t="inlineStr">
        <is>
          <t>13АВ-РД-АР1.1-К4</t>
        </is>
      </c>
      <c r="C17" s="380" t="n">
        <v>45987</v>
      </c>
      <c r="D17" s="67" t="inlineStr">
        <is>
          <t>Кладка</t>
        </is>
      </c>
      <c r="E17" s="67" t="n"/>
      <c r="F17" s="471" t="inlineStr">
        <is>
          <t>Перемычки внутренних стен D600 250 мм</t>
        </is>
      </c>
      <c r="G17" s="67" t="inlineStr">
        <is>
          <t>Корпус 4</t>
        </is>
      </c>
      <c r="H17" s="67" t="n"/>
      <c r="I17" s="67" t="inlineStr">
        <is>
          <t>т</t>
        </is>
      </c>
      <c r="J17" s="413">
        <f>148.848/1000</f>
        <v/>
      </c>
      <c r="K17" s="563" t="inlineStr">
        <is>
          <t>Уголок 40х5</t>
        </is>
      </c>
      <c r="L17" s="67" t="inlineStr">
        <is>
          <t>т</t>
        </is>
      </c>
      <c r="M17" s="67" t="n"/>
      <c r="N17" s="415">
        <f>148.848/1000</f>
        <v/>
      </c>
      <c r="O17" s="67" t="n"/>
      <c r="P17" s="67" t="n"/>
      <c r="Q17" s="413">
        <f>148.848/1000</f>
        <v/>
      </c>
      <c r="R17" s="67" t="inlineStr">
        <is>
          <t>т</t>
        </is>
      </c>
      <c r="S17" s="67" t="n"/>
      <c r="T17" s="67" t="n"/>
      <c r="U17" s="471" t="n"/>
      <c r="V17" s="67" t="n"/>
    </row>
    <row r="18" s="1227">
      <c r="A18" s="67" t="inlineStr">
        <is>
          <t>мат.</t>
        </is>
      </c>
      <c r="B18" s="67" t="inlineStr">
        <is>
          <t>13АВ-РД-АР1.1-К4</t>
        </is>
      </c>
      <c r="C18" s="380" t="n">
        <v>45987</v>
      </c>
      <c r="D18" s="67" t="inlineStr">
        <is>
          <t>Кладка</t>
        </is>
      </c>
      <c r="E18" s="67" t="n"/>
      <c r="F18" s="471" t="inlineStr">
        <is>
          <t>Перемычки внутренних стен D600 250 мм</t>
        </is>
      </c>
      <c r="G18" s="67" t="inlineStr">
        <is>
          <t>Корпус 4</t>
        </is>
      </c>
      <c r="H18" s="67" t="n"/>
      <c r="I18" s="67" t="inlineStr">
        <is>
          <t>т</t>
        </is>
      </c>
      <c r="J18" s="413">
        <f>25.024/1000</f>
        <v/>
      </c>
      <c r="K18" s="563" t="inlineStr">
        <is>
          <t>Уголок 80х6 ГОСТ 8509-93</t>
        </is>
      </c>
      <c r="L18" s="67" t="inlineStr">
        <is>
          <t>т</t>
        </is>
      </c>
      <c r="M18" s="67" t="n">
        <v>0.02502</v>
      </c>
      <c r="N18" s="415">
        <f>25.024/1000</f>
        <v/>
      </c>
      <c r="O18" s="67" t="n"/>
      <c r="P18" s="67" t="n"/>
      <c r="Q18" s="413">
        <f>25.024/1000</f>
        <v/>
      </c>
      <c r="R18" s="67" t="inlineStr">
        <is>
          <t>т</t>
        </is>
      </c>
      <c r="S18" s="67" t="n"/>
      <c r="T18" s="67" t="n"/>
      <c r="U18" s="471" t="n"/>
      <c r="V18" s="67" t="n"/>
    </row>
    <row r="19" s="1227">
      <c r="A19" s="67" t="inlineStr">
        <is>
          <t>мат.</t>
        </is>
      </c>
      <c r="B19" s="67" t="inlineStr">
        <is>
          <t>13АВ-РД-АР1.1-К4</t>
        </is>
      </c>
      <c r="C19" s="380" t="n">
        <v>45987</v>
      </c>
      <c r="D19" s="67" t="inlineStr">
        <is>
          <t>Кладка</t>
        </is>
      </c>
      <c r="E19" s="67" t="n"/>
      <c r="F19" s="471" t="inlineStr">
        <is>
          <t>Перемычки внутренних стен D600 250 мм</t>
        </is>
      </c>
      <c r="G19" s="67" t="inlineStr">
        <is>
          <t>Корпус 4</t>
        </is>
      </c>
      <c r="H19" s="67" t="n"/>
      <c r="I19" s="67" t="inlineStr">
        <is>
          <t xml:space="preserve">шт </t>
        </is>
      </c>
      <c r="J19" s="413" t="n">
        <v>16</v>
      </c>
      <c r="K19" s="563" t="inlineStr">
        <is>
          <t>1ПБ14-1</t>
        </is>
      </c>
      <c r="L19" s="67" t="inlineStr">
        <is>
          <t>шт</t>
        </is>
      </c>
      <c r="M19" s="67" t="n"/>
      <c r="N19" s="502" t="n">
        <v>16</v>
      </c>
      <c r="O19" s="67" t="n"/>
      <c r="P19" s="67" t="n"/>
      <c r="Q19" s="413" t="n">
        <v>16</v>
      </c>
      <c r="R19" s="67" t="inlineStr">
        <is>
          <t>шт</t>
        </is>
      </c>
      <c r="S19" s="67" t="n"/>
      <c r="T19" s="67" t="n"/>
      <c r="U19" s="471" t="n"/>
      <c r="V19" s="67" t="n"/>
    </row>
    <row r="20" s="1227">
      <c r="A20" s="67" t="inlineStr">
        <is>
          <t>мат.</t>
        </is>
      </c>
      <c r="B20" s="67" t="inlineStr">
        <is>
          <t>13АВ-РД-АР1.1-К4</t>
        </is>
      </c>
      <c r="C20" s="380" t="n">
        <v>45987</v>
      </c>
      <c r="D20" s="67" t="inlineStr">
        <is>
          <t>Кладка</t>
        </is>
      </c>
      <c r="E20" s="67" t="n"/>
      <c r="F20" s="471" t="inlineStr">
        <is>
          <t>Перемычки внутренних стен D600 250 мм</t>
        </is>
      </c>
      <c r="G20" s="67" t="inlineStr">
        <is>
          <t>Корпус 4</t>
        </is>
      </c>
      <c r="H20" s="67" t="n"/>
      <c r="I20" s="67" t="inlineStr">
        <is>
          <t xml:space="preserve">шт </t>
        </is>
      </c>
      <c r="J20" s="413" t="n">
        <v>16</v>
      </c>
      <c r="K20" s="563" t="inlineStr">
        <is>
          <t>1ПБ17-1</t>
        </is>
      </c>
      <c r="L20" s="67" t="inlineStr">
        <is>
          <t>шт</t>
        </is>
      </c>
      <c r="M20" s="67" t="n"/>
      <c r="N20" s="502" t="n">
        <v>16</v>
      </c>
      <c r="O20" s="67" t="n"/>
      <c r="P20" s="67" t="n"/>
      <c r="Q20" s="413" t="n">
        <v>16</v>
      </c>
      <c r="R20" s="67" t="inlineStr">
        <is>
          <t>шт</t>
        </is>
      </c>
      <c r="S20" s="67" t="n"/>
      <c r="T20" s="67" t="n"/>
      <c r="U20" s="471" t="n"/>
      <c r="V20" s="67" t="n"/>
    </row>
    <row r="21">
      <c r="A21" s="408" t="inlineStr">
        <is>
          <t>мат.</t>
        </is>
      </c>
      <c r="B21" s="408" t="inlineStr">
        <is>
          <t>13АВ-РД-АР1.1-К4</t>
        </is>
      </c>
      <c r="C21" s="406" t="n">
        <v>45987</v>
      </c>
      <c r="D21" s="408" t="inlineStr">
        <is>
          <t>Кладка</t>
        </is>
      </c>
      <c r="E21" s="408" t="inlineStr">
        <is>
          <t>БАЗА</t>
        </is>
      </c>
      <c r="F21" s="407" t="inlineStr">
        <is>
          <t>Внутренние стены СКЦ 190 мм</t>
        </is>
      </c>
      <c r="G21" s="408" t="inlineStr">
        <is>
          <t>Корпус 4</t>
        </is>
      </c>
      <c r="H21" s="408" t="n"/>
      <c r="I21" s="408" t="inlineStr">
        <is>
          <t>м3</t>
        </is>
      </c>
      <c r="J21" s="409">
        <f>IF(AND(E21="БАЗА",I21=L21),N21,IF(E21&lt;&gt;"БАЗА","0",IF(I21&lt;&gt;L21,"Пересчет")))</f>
        <v/>
      </c>
      <c r="K21" s="410" t="inlineStr">
        <is>
          <t>Камень бетонный полнотелый толщиной 190 мм ГОСТ 6133-2019</t>
        </is>
      </c>
      <c r="L21" s="408" t="inlineStr">
        <is>
          <t>м3</t>
        </is>
      </c>
      <c r="M21" s="408" t="n">
        <v>18.45</v>
      </c>
      <c r="N21" s="417">
        <f>W21</f>
        <v/>
      </c>
      <c r="O21" s="408" t="n">
        <v>0</v>
      </c>
      <c r="P21" s="408" t="n">
        <v>0</v>
      </c>
      <c r="Q21" s="412">
        <f>N21*V21+P21</f>
        <v/>
      </c>
      <c r="R21" s="408" t="inlineStr">
        <is>
          <t>м3</t>
        </is>
      </c>
      <c r="S21" s="408" t="n"/>
      <c r="T21" s="408" t="n"/>
      <c r="U21" s="408" t="inlineStr">
        <is>
          <t>СВ-3.1</t>
        </is>
      </c>
      <c r="V21" s="408" t="n">
        <v>1</v>
      </c>
      <c r="W21" s="0" t="n">
        <v>3.14</v>
      </c>
    </row>
    <row r="22" s="1227">
      <c r="A22" s="67" t="n"/>
      <c r="B22" s="67" t="inlineStr">
        <is>
          <t>13АВ-РД-АР1.1-К4</t>
        </is>
      </c>
      <c r="C22" s="380" t="n">
        <v>45881</v>
      </c>
      <c r="D22" s="67" t="inlineStr">
        <is>
          <t>Кладка</t>
        </is>
      </c>
      <c r="E22" s="67" t="n"/>
      <c r="F22" s="471" t="inlineStr">
        <is>
          <t>Внутренние стены СКЦ 190 мм</t>
        </is>
      </c>
      <c r="G22" s="67" t="inlineStr">
        <is>
          <t>Корпус 4</t>
        </is>
      </c>
      <c r="H22" s="67" t="n"/>
      <c r="I22" s="67" t="n"/>
      <c r="J22" s="419" t="n"/>
      <c r="K22" s="563" t="inlineStr">
        <is>
          <t>Примыкание к плите перекрытия</t>
        </is>
      </c>
      <c r="L22" s="67" t="inlineStr">
        <is>
          <t>м.п.</t>
        </is>
      </c>
      <c r="M22" s="67" t="n">
        <v>0</v>
      </c>
      <c r="N22" s="67">
        <f>W22</f>
        <v/>
      </c>
      <c r="O22" s="67" t="n">
        <v>0</v>
      </c>
      <c r="P22" s="67" t="n">
        <v>0</v>
      </c>
      <c r="Q22" s="413">
        <f>N22*V22+P22</f>
        <v/>
      </c>
      <c r="R22" s="67" t="inlineStr">
        <is>
          <t>м.п.</t>
        </is>
      </c>
      <c r="S22" s="67" t="n"/>
      <c r="T22" s="67" t="n"/>
      <c r="U22" s="471" t="inlineStr">
        <is>
          <t>Верхнее крепление блоков СВ-3.1 к перекрытию (узел Ж)</t>
        </is>
      </c>
      <c r="V22" s="67" t="n">
        <v>1</v>
      </c>
      <c r="W22" s="0" t="n">
        <v>0</v>
      </c>
    </row>
    <row r="23" s="1227">
      <c r="A23" s="67" t="n"/>
      <c r="B23" s="67" t="inlineStr">
        <is>
          <t>13АВ-РД-АР1.1-К4</t>
        </is>
      </c>
      <c r="C23" s="380" t="n">
        <v>45881</v>
      </c>
      <c r="D23" s="67" t="inlineStr">
        <is>
          <t>Кладка</t>
        </is>
      </c>
      <c r="E23" s="67" t="n"/>
      <c r="F23" s="471" t="inlineStr">
        <is>
          <t>Внутренние стены СКЦ 190 мм</t>
        </is>
      </c>
      <c r="G23" s="67" t="inlineStr">
        <is>
          <t>Корпус 4</t>
        </is>
      </c>
      <c r="H23" s="67" t="n"/>
      <c r="I23" s="67" t="n"/>
      <c r="J23" s="419" t="n"/>
      <c r="K23" s="563" t="inlineStr">
        <is>
          <t>Крепление каменных блоков к жб стенам</t>
        </is>
      </c>
      <c r="L23" s="67" t="inlineStr">
        <is>
          <t>м.п.</t>
        </is>
      </c>
      <c r="M23" s="67" t="n">
        <v>0</v>
      </c>
      <c r="N23" s="67">
        <f>W23</f>
        <v/>
      </c>
      <c r="O23" s="67" t="n">
        <v>0</v>
      </c>
      <c r="P23" s="67" t="n">
        <v>0</v>
      </c>
      <c r="Q23" s="413">
        <f>N23*V23+P23</f>
        <v/>
      </c>
      <c r="R23" s="67" t="inlineStr">
        <is>
          <t>м.п.</t>
        </is>
      </c>
      <c r="S23" s="67" t="n"/>
      <c r="T23" s="67" t="n"/>
      <c r="U23" s="471" t="inlineStr">
        <is>
          <t>Крепление блоков СВ-3.1 к стенам (узел И)</t>
        </is>
      </c>
      <c r="V23" s="67" t="n">
        <v>1</v>
      </c>
      <c r="W23" s="0" t="n">
        <v>0</v>
      </c>
    </row>
    <row r="24">
      <c r="A24" s="408" t="inlineStr">
        <is>
          <t>мат.</t>
        </is>
      </c>
      <c r="B24" s="408" t="inlineStr">
        <is>
          <t>13АВ-РД-АР1.1-К4</t>
        </is>
      </c>
      <c r="C24" s="406" t="n">
        <v>45987</v>
      </c>
      <c r="D24" s="408" t="inlineStr">
        <is>
          <t>Кладка</t>
        </is>
      </c>
      <c r="E24" s="408" t="inlineStr">
        <is>
          <t>БАЗА</t>
        </is>
      </c>
      <c r="F24" s="407" t="inlineStr">
        <is>
          <t>Внутренние стены СКЦ 80 мм</t>
        </is>
      </c>
      <c r="G24" s="408" t="inlineStr">
        <is>
          <t>Корпус 4</t>
        </is>
      </c>
      <c r="H24" s="408" t="n"/>
      <c r="I24" s="408" t="inlineStr">
        <is>
          <t>м2</t>
        </is>
      </c>
      <c r="J24" s="409">
        <f>IF(AND(E24="БАЗА",I24=L24),N24,IF(E24&lt;&gt;"БАЗА","0",IF(I24&lt;&gt;L24,"Пересчет")))</f>
        <v/>
      </c>
      <c r="K24" s="410" t="inlineStr">
        <is>
          <t>Камень бетонный полнотелый толщиной 80 мм ГОСТ 6133-2019</t>
        </is>
      </c>
      <c r="L24" s="408" t="inlineStr">
        <is>
          <t>м2</t>
        </is>
      </c>
      <c r="M24" s="408" t="n">
        <v>2.6</v>
      </c>
      <c r="N24" s="408">
        <f>W24</f>
        <v/>
      </c>
      <c r="O24" s="408" t="n">
        <v>0</v>
      </c>
      <c r="P24" s="408" t="n">
        <v>0</v>
      </c>
      <c r="Q24" s="412">
        <f>N24*V24+P24</f>
        <v/>
      </c>
      <c r="R24" s="408" t="inlineStr">
        <is>
          <t>м2</t>
        </is>
      </c>
      <c r="S24" s="408" t="n"/>
      <c r="T24" s="408" t="n"/>
      <c r="U24" s="408" t="inlineStr">
        <is>
          <t>СВ-3.2</t>
        </is>
      </c>
      <c r="V24" s="408" t="n">
        <v>1</v>
      </c>
      <c r="W24" s="0" t="n">
        <v>32.419</v>
      </c>
    </row>
    <row r="25" s="1227">
      <c r="A25" s="67" t="n"/>
      <c r="B25" s="67" t="inlineStr">
        <is>
          <t>13АВ-РД-АР1.1-К4</t>
        </is>
      </c>
      <c r="C25" s="380" t="n">
        <v>45987</v>
      </c>
      <c r="D25" s="67" t="inlineStr">
        <is>
          <t>Кладка</t>
        </is>
      </c>
      <c r="E25" s="67" t="n"/>
      <c r="F25" s="471" t="inlineStr">
        <is>
          <t>Внутренние стены СКЦ 80 мм</t>
        </is>
      </c>
      <c r="G25" s="67" t="inlineStr">
        <is>
          <t>Корпус 4</t>
        </is>
      </c>
      <c r="H25" s="67" t="n"/>
      <c r="I25" s="67" t="n"/>
      <c r="J25" s="419" t="n"/>
      <c r="K25" s="563" t="inlineStr">
        <is>
          <t>Крепление каменных блоков к жб стенам</t>
        </is>
      </c>
      <c r="L25" s="67" t="inlineStr">
        <is>
          <t>м.п.</t>
        </is>
      </c>
      <c r="M25" s="67" t="n">
        <v>0</v>
      </c>
      <c r="N25" s="67">
        <f>W25</f>
        <v/>
      </c>
      <c r="O25" s="67" t="n">
        <v>0</v>
      </c>
      <c r="P25" s="67" t="n">
        <v>0</v>
      </c>
      <c r="Q25" s="413">
        <f>N25*V25+P25</f>
        <v/>
      </c>
      <c r="R25" s="67" t="inlineStr">
        <is>
          <t>м.п.</t>
        </is>
      </c>
      <c r="S25" s="67" t="n"/>
      <c r="T25" s="67" t="n"/>
      <c r="U25" s="471" t="inlineStr">
        <is>
          <t>Крепление блоков СВ-3.2 к стенам (узел И)</t>
        </is>
      </c>
      <c r="V25" s="67" t="n">
        <v>1</v>
      </c>
      <c r="W25" s="0" t="n">
        <v>0</v>
      </c>
    </row>
    <row r="26" s="1227">
      <c r="A26" s="67" t="n"/>
      <c r="B26" s="67" t="inlineStr">
        <is>
          <t>13АВ-РД-АР1.1-К4</t>
        </is>
      </c>
      <c r="C26" s="380" t="n">
        <v>45987</v>
      </c>
      <c r="D26" s="67" t="inlineStr">
        <is>
          <t>Кладка</t>
        </is>
      </c>
      <c r="E26" s="67" t="n"/>
      <c r="F26" s="471" t="inlineStr">
        <is>
          <t>Внутренние стены СКЦ 190 мм</t>
        </is>
      </c>
      <c r="G26" s="67" t="inlineStr">
        <is>
          <t>Корпус 4</t>
        </is>
      </c>
      <c r="H26" s="67" t="n"/>
      <c r="I26" s="67" t="n"/>
      <c r="J26" s="419" t="n"/>
      <c r="K26" s="563" t="inlineStr">
        <is>
          <t>Примыкание к плите перекрытия</t>
        </is>
      </c>
      <c r="L26" s="67" t="inlineStr">
        <is>
          <t>м.п.</t>
        </is>
      </c>
      <c r="M26" s="67" t="n">
        <v>0</v>
      </c>
      <c r="N26" s="67">
        <f>W26</f>
        <v/>
      </c>
      <c r="O26" s="67" t="n">
        <v>0</v>
      </c>
      <c r="P26" s="67" t="n">
        <v>0</v>
      </c>
      <c r="Q26" s="413">
        <f>N26*V26+P26</f>
        <v/>
      </c>
      <c r="R26" s="67" t="inlineStr">
        <is>
          <t>м.п.</t>
        </is>
      </c>
      <c r="S26" s="67" t="n"/>
      <c r="T26" s="67" t="n"/>
      <c r="U26" s="471" t="inlineStr">
        <is>
          <t>Верхнее крепление блоков СВ-3.1 к перекрытию (узел Ж)</t>
        </is>
      </c>
      <c r="V26" s="67" t="n">
        <v>1</v>
      </c>
      <c r="W26" s="0" t="n">
        <v>0</v>
      </c>
    </row>
    <row r="27">
      <c r="A27" s="408" t="inlineStr">
        <is>
          <t>мат.</t>
        </is>
      </c>
      <c r="B27" s="408" t="inlineStr">
        <is>
          <t>13АВ-РД-АР1.1-К4</t>
        </is>
      </c>
      <c r="C27" s="406" t="n">
        <v>45987</v>
      </c>
      <c r="D27" s="408" t="inlineStr">
        <is>
          <t>Кладка</t>
        </is>
      </c>
      <c r="E27" s="408" t="inlineStr">
        <is>
          <t>БАЗА</t>
        </is>
      </c>
      <c r="F27" s="407" t="inlineStr">
        <is>
          <t>Шахты</t>
        </is>
      </c>
      <c r="G27" s="408" t="inlineStr">
        <is>
          <t>Корпус 4</t>
        </is>
      </c>
      <c r="H27" s="408" t="n"/>
      <c r="I27" s="408" t="inlineStr">
        <is>
          <t>м2</t>
        </is>
      </c>
      <c r="J27" s="409">
        <f>IF(AND(E27="БАЗА",I27=L27),N27,IF(E27&lt;&gt;"БАЗА","0",IF(I27&lt;&gt;L27,"Пересчет")))</f>
        <v/>
      </c>
      <c r="K27" s="410" t="inlineStr">
        <is>
          <t>Газобетонные блоки D600 толщиной 100 мм, ГОСТ 31359-2007</t>
        </is>
      </c>
      <c r="L27" s="408" t="inlineStr">
        <is>
          <t>м2</t>
        </is>
      </c>
      <c r="M27" s="408" t="n">
        <v>63</v>
      </c>
      <c r="N27" s="408">
        <f>W27</f>
        <v/>
      </c>
      <c r="O27" s="408" t="n">
        <v>0</v>
      </c>
      <c r="P27" s="408" t="n">
        <v>0</v>
      </c>
      <c r="Q27" s="412">
        <f>N27*V27+P27</f>
        <v/>
      </c>
      <c r="R27" s="408" t="inlineStr">
        <is>
          <t>м2</t>
        </is>
      </c>
      <c r="S27" s="408" t="n"/>
      <c r="T27" s="408" t="n"/>
      <c r="U27" s="407" t="inlineStr">
        <is>
          <t>СВ-1.4</t>
        </is>
      </c>
      <c r="V27" s="408" t="n">
        <v>1</v>
      </c>
      <c r="W27" s="0" t="n">
        <v>19.15</v>
      </c>
    </row>
    <row r="28" s="1227">
      <c r="A28" s="67" t="n"/>
      <c r="B28" s="67" t="inlineStr">
        <is>
          <t>13АВ-РД-АР1.1-К4</t>
        </is>
      </c>
      <c r="C28" s="380" t="n">
        <v>45987</v>
      </c>
      <c r="D28" s="67" t="inlineStr">
        <is>
          <t>Кладка</t>
        </is>
      </c>
      <c r="E28" s="67" t="n"/>
      <c r="F28" s="471" t="inlineStr">
        <is>
          <t>Шахты</t>
        </is>
      </c>
      <c r="G28" s="67" t="inlineStr">
        <is>
          <t>Корпус 4</t>
        </is>
      </c>
      <c r="H28" s="67" t="n"/>
      <c r="I28" s="67" t="n"/>
      <c r="J28" s="419" t="n"/>
      <c r="K28" s="563" t="inlineStr">
        <is>
          <t>Примыкание к плите перекрытия</t>
        </is>
      </c>
      <c r="L28" s="67" t="inlineStr">
        <is>
          <t>м.п.</t>
        </is>
      </c>
      <c r="M28" s="67" t="n">
        <v>0</v>
      </c>
      <c r="N28" s="67">
        <f>W28</f>
        <v/>
      </c>
      <c r="O28" s="67" t="n">
        <v>0</v>
      </c>
      <c r="P28" s="67" t="n">
        <v>0</v>
      </c>
      <c r="Q28" s="413">
        <f>N28*V28+P28</f>
        <v/>
      </c>
      <c r="R28" s="67" t="inlineStr">
        <is>
          <t>м.п.</t>
        </is>
      </c>
      <c r="S28" s="67" t="n"/>
      <c r="T28" s="67" t="n"/>
      <c r="U28" s="471" t="inlineStr">
        <is>
          <t>Верхнее крепление блоков СВ-1.4 к перекрытию (узел Ж)</t>
        </is>
      </c>
      <c r="V28" s="67" t="n">
        <v>1</v>
      </c>
      <c r="W28" s="0" t="n">
        <v>0</v>
      </c>
    </row>
    <row r="29" s="1227">
      <c r="A29" s="67" t="n"/>
      <c r="B29" s="67" t="inlineStr">
        <is>
          <t>13АВ-РД-АР1.1-К4</t>
        </is>
      </c>
      <c r="C29" s="380" t="n">
        <v>45987</v>
      </c>
      <c r="D29" s="67" t="inlineStr">
        <is>
          <t>Кладка</t>
        </is>
      </c>
      <c r="E29" s="67" t="n"/>
      <c r="F29" s="471" t="inlineStr">
        <is>
          <t>Шахты</t>
        </is>
      </c>
      <c r="G29" s="67" t="inlineStr">
        <is>
          <t>Корпус 4</t>
        </is>
      </c>
      <c r="H29" s="67" t="n"/>
      <c r="I29" s="67" t="n"/>
      <c r="J29" s="419" t="n"/>
      <c r="K29" s="563" t="inlineStr">
        <is>
          <t>Крепление газобетонных блоков к жб стенам</t>
        </is>
      </c>
      <c r="L29" s="67" t="inlineStr">
        <is>
          <t>м.п.</t>
        </is>
      </c>
      <c r="M29" s="67" t="n">
        <v>0</v>
      </c>
      <c r="N29" s="67">
        <f>W29</f>
        <v/>
      </c>
      <c r="O29" s="67" t="n">
        <v>0</v>
      </c>
      <c r="P29" s="67" t="n">
        <v>0</v>
      </c>
      <c r="Q29" s="413">
        <f>N29*V29+P29</f>
        <v/>
      </c>
      <c r="R29" s="67" t="inlineStr">
        <is>
          <t>м.п.</t>
        </is>
      </c>
      <c r="S29" s="67" t="n"/>
      <c r="T29" s="67" t="n"/>
      <c r="U29" s="471" t="inlineStr">
        <is>
          <t>Крепление блоков СВ-1.4 к жб стене (узел В)</t>
        </is>
      </c>
      <c r="V29" s="67" t="n">
        <v>1</v>
      </c>
      <c r="W29" s="0" t="n">
        <v>0</v>
      </c>
    </row>
    <row r="30">
      <c r="A30" s="408" t="inlineStr">
        <is>
          <t>мат.</t>
        </is>
      </c>
      <c r="B30" s="408" t="inlineStr">
        <is>
          <t>13АВ-РД-АР1.1-К4</t>
        </is>
      </c>
      <c r="C30" s="406" t="n">
        <v>45987</v>
      </c>
      <c r="D30" s="408" t="inlineStr">
        <is>
          <t>Кладка</t>
        </is>
      </c>
      <c r="E30" s="408" t="inlineStr">
        <is>
          <t>БАЗА</t>
        </is>
      </c>
      <c r="F30" s="407" t="inlineStr">
        <is>
          <t>Перегородки из влагостойких ПСП</t>
        </is>
      </c>
      <c r="G30" s="408" t="inlineStr">
        <is>
          <t>Корпус 4</t>
        </is>
      </c>
      <c r="H30" s="408" t="n"/>
      <c r="I30" s="408" t="inlineStr">
        <is>
          <t>м2</t>
        </is>
      </c>
      <c r="J30" s="408">
        <f>IF(AND(E30="БАЗА",I30=L30),N30,IF(E30&lt;&gt;"БАЗА","0",IF(I30&lt;&gt;L30,"Пересчет")))</f>
        <v/>
      </c>
      <c r="K30" s="410" t="inlineStr">
        <is>
          <t>Силикатные полнотелые влагостойкие пазогребневые плиты (ПСП) толщиной 80 мм ГОСТ 379-2015</t>
        </is>
      </c>
      <c r="L30" s="408" t="inlineStr">
        <is>
          <t>м2</t>
        </is>
      </c>
      <c r="M30" s="408" t="n">
        <v>3037.8</v>
      </c>
      <c r="N30" s="495">
        <f>W30</f>
        <v/>
      </c>
      <c r="O30" s="408" t="n">
        <v>0</v>
      </c>
      <c r="P30" s="408" t="n">
        <v>0</v>
      </c>
      <c r="Q30" s="412">
        <f>N30*V30+P30</f>
        <v/>
      </c>
      <c r="R30" s="408" t="inlineStr">
        <is>
          <t>м2</t>
        </is>
      </c>
      <c r="S30" s="408" t="n"/>
      <c r="T30" s="408" t="n"/>
      <c r="U30" s="407" t="inlineStr">
        <is>
          <t>СВ-2.1
Перегородки санузлов, внутриквартирные шахты</t>
        </is>
      </c>
      <c r="V30" s="408" t="n">
        <v>1</v>
      </c>
      <c r="W30" s="0" t="n">
        <v>0</v>
      </c>
    </row>
    <row r="31" s="1227">
      <c r="A31" s="67" t="n"/>
      <c r="B31" s="67" t="inlineStr">
        <is>
          <t>13АВ-РД-АР1.1-К4</t>
        </is>
      </c>
      <c r="C31" s="380" t="n">
        <v>45881</v>
      </c>
      <c r="D31" s="67" t="inlineStr">
        <is>
          <t>Кладка</t>
        </is>
      </c>
      <c r="E31" s="67" t="n"/>
      <c r="F31" s="471" t="inlineStr">
        <is>
          <t>Перегородки из влагостойких ПСП</t>
        </is>
      </c>
      <c r="G31" s="67" t="inlineStr">
        <is>
          <t>Корпус 4</t>
        </is>
      </c>
      <c r="H31" s="67" t="n"/>
      <c r="I31" s="67" t="n"/>
      <c r="J31" s="419" t="n"/>
      <c r="K31" s="563" t="inlineStr">
        <is>
          <t>Примыкание к плите перекрытия</t>
        </is>
      </c>
      <c r="L31" s="67" t="inlineStr">
        <is>
          <t>м.п.</t>
        </is>
      </c>
      <c r="M31" s="67" t="n">
        <v>0</v>
      </c>
      <c r="N31" s="67">
        <f>W31</f>
        <v/>
      </c>
      <c r="O31" s="67" t="n">
        <v>0</v>
      </c>
      <c r="P31" s="67" t="n">
        <v>0</v>
      </c>
      <c r="Q31" s="413">
        <f>N31*V31+P31</f>
        <v/>
      </c>
      <c r="R31" s="67" t="inlineStr">
        <is>
          <t>м.п.</t>
        </is>
      </c>
      <c r="S31" s="67" t="n"/>
      <c r="T31" s="67" t="n"/>
      <c r="U31" s="471" t="inlineStr">
        <is>
          <t>Узел Е1</t>
        </is>
      </c>
      <c r="V31" s="67" t="n">
        <v>1</v>
      </c>
      <c r="W31" s="0" t="n">
        <v>0</v>
      </c>
    </row>
    <row r="32" s="1227">
      <c r="A32" s="67" t="n"/>
      <c r="B32" s="67" t="inlineStr">
        <is>
          <t>13АВ-РД-АР1.1-К4</t>
        </is>
      </c>
      <c r="C32" s="380" t="n">
        <v>45881</v>
      </c>
      <c r="D32" s="67" t="inlineStr">
        <is>
          <t>Кладка</t>
        </is>
      </c>
      <c r="E32" s="67" t="n"/>
      <c r="F32" s="471" t="inlineStr">
        <is>
          <t>Перегородки из влагостойких ПСП</t>
        </is>
      </c>
      <c r="G32" s="67" t="inlineStr">
        <is>
          <t>Корпус 4</t>
        </is>
      </c>
      <c r="H32" s="67" t="n"/>
      <c r="I32" s="67" t="n"/>
      <c r="J32" s="419" t="n"/>
      <c r="K32" s="563" t="inlineStr">
        <is>
          <t>Крепление плит ПСП к жб стенам</t>
        </is>
      </c>
      <c r="L32" s="67" t="inlineStr">
        <is>
          <t>м.п.</t>
        </is>
      </c>
      <c r="M32" s="67" t="n">
        <v>0</v>
      </c>
      <c r="N32" s="67">
        <f>W32</f>
        <v/>
      </c>
      <c r="O32" s="67" t="n">
        <v>0</v>
      </c>
      <c r="P32" s="67" t="n">
        <v>0</v>
      </c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Узел В</t>
        </is>
      </c>
      <c r="V32" s="67" t="n"/>
      <c r="W32" s="0" t="n">
        <v>0</v>
      </c>
    </row>
    <row r="33" s="1227">
      <c r="A33" s="67" t="inlineStr">
        <is>
          <t>мат.</t>
        </is>
      </c>
      <c r="B33" s="67" t="inlineStr">
        <is>
          <t>13АВ-РД-АР1.1-К4</t>
        </is>
      </c>
      <c r="C33" s="380" t="n">
        <v>45987</v>
      </c>
      <c r="D33" s="67" t="inlineStr">
        <is>
          <t>Кладка</t>
        </is>
      </c>
      <c r="E33" s="67" t="n"/>
      <c r="F33" s="471" t="inlineStr">
        <is>
          <t>Перемычки ПСП Плит 80 мм</t>
        </is>
      </c>
      <c r="G33" s="67" t="n"/>
      <c r="H33" s="67" t="n"/>
      <c r="I33" s="67" t="inlineStr">
        <is>
          <t>т</t>
        </is>
      </c>
      <c r="J33" s="413">
        <f>3565.15/1000</f>
        <v/>
      </c>
      <c r="K33" s="563" t="inlineStr">
        <is>
          <t>Уголок 75х6</t>
        </is>
      </c>
      <c r="L33" s="67" t="inlineStr">
        <is>
          <t>т</t>
        </is>
      </c>
      <c r="M33" s="67" t="n">
        <v>3.42405</v>
      </c>
      <c r="N33" s="413">
        <f>3565.15/1000</f>
        <v/>
      </c>
      <c r="O33" s="67" t="n">
        <v>0</v>
      </c>
      <c r="P33" s="67" t="n">
        <v>0</v>
      </c>
      <c r="Q33" s="413">
        <f>3565.15/1000</f>
        <v/>
      </c>
      <c r="R33" s="67" t="inlineStr">
        <is>
          <t>т</t>
        </is>
      </c>
      <c r="S33" s="67" t="n"/>
      <c r="T33" s="67" t="n"/>
      <c r="U33" s="471" t="inlineStr">
        <is>
          <t>ПР-2.5 - 184 шт
ПР-2.6 - 164 шт
ПР-2.7 - 36 шт
ПР-2.8 - 32 шт
ПР-1.15 - 17 шт</t>
        </is>
      </c>
      <c r="V33" s="67" t="n"/>
    </row>
    <row r="34" s="1227">
      <c r="A34" s="67" t="inlineStr">
        <is>
          <t>мат.</t>
        </is>
      </c>
      <c r="B34" s="67" t="inlineStr">
        <is>
          <t>13АВ-РД-АР1.1-К4</t>
        </is>
      </c>
      <c r="C34" s="380" t="n">
        <v>45987</v>
      </c>
      <c r="D34" s="67" t="inlineStr">
        <is>
          <t>Кладка</t>
        </is>
      </c>
      <c r="E34" s="67" t="n"/>
      <c r="F34" s="471" t="inlineStr">
        <is>
          <t>Перемычки ПСП Плит 80 мм</t>
        </is>
      </c>
      <c r="G34" s="67" t="n"/>
      <c r="H34" s="67" t="n"/>
      <c r="I34" s="67" t="inlineStr">
        <is>
          <t>шт</t>
        </is>
      </c>
      <c r="J34" s="419" t="n">
        <v>17</v>
      </c>
      <c r="K34" s="563" t="inlineStr">
        <is>
          <t>1ПБ14-1</t>
        </is>
      </c>
      <c r="L34" s="67" t="inlineStr">
        <is>
          <t>шт</t>
        </is>
      </c>
      <c r="M34" s="67" t="n"/>
      <c r="N34" s="67" t="n">
        <v>17</v>
      </c>
      <c r="O34" s="67" t="n">
        <v>0</v>
      </c>
      <c r="P34" s="67" t="n">
        <v>0</v>
      </c>
      <c r="Q34" s="413" t="n">
        <v>17</v>
      </c>
      <c r="R34" s="67" t="inlineStr">
        <is>
          <t>шт</t>
        </is>
      </c>
      <c r="S34" s="67" t="n"/>
      <c r="T34" s="67" t="n"/>
      <c r="U34" s="471" t="n"/>
      <c r="V34" s="67" t="n"/>
    </row>
    <row r="35">
      <c r="A35" s="408" t="inlineStr">
        <is>
          <t>мат.</t>
        </is>
      </c>
      <c r="B35" s="408" t="inlineStr">
        <is>
          <t>13АВ-РД-АР1.1-К4</t>
        </is>
      </c>
      <c r="C35" s="406" t="n">
        <v>45987</v>
      </c>
      <c r="D35" s="408" t="inlineStr">
        <is>
          <t>Кладка</t>
        </is>
      </c>
      <c r="E35" s="408" t="inlineStr">
        <is>
          <t>БАЗА</t>
        </is>
      </c>
      <c r="F35" s="407" t="inlineStr">
        <is>
          <t>Перегородки из ПСП</t>
        </is>
      </c>
      <c r="G35" s="408" t="inlineStr">
        <is>
          <t>Корпус 4</t>
        </is>
      </c>
      <c r="H35" s="408" t="n"/>
      <c r="I35" s="408" t="inlineStr">
        <is>
          <t>м2</t>
        </is>
      </c>
      <c r="J35" s="408">
        <f>IF(AND(E35="БАЗА",I35=L35),N35,IF(E35&lt;&gt;"БАЗА","0",IF(I35&lt;&gt;L35,"Пересчет")))</f>
        <v/>
      </c>
      <c r="K35" s="410" t="inlineStr">
        <is>
          <t>Силикатные полнотелые пазогребневые плиты (ПСП) толщиной 80 мм ГОСТ 379-2015</t>
        </is>
      </c>
      <c r="L35" s="408" t="inlineStr">
        <is>
          <t>м2</t>
        </is>
      </c>
      <c r="M35" s="408" t="n">
        <v>3176.4</v>
      </c>
      <c r="N35" s="495">
        <f>W35</f>
        <v/>
      </c>
      <c r="O35" s="408" t="n">
        <v>0</v>
      </c>
      <c r="P35" s="408" t="n">
        <v>0</v>
      </c>
      <c r="Q35" s="412">
        <f>N35*V35+P35</f>
        <v/>
      </c>
      <c r="R35" s="408" t="inlineStr">
        <is>
          <t>м2</t>
        </is>
      </c>
      <c r="S35" s="408" t="n"/>
      <c r="T35" s="408" t="n"/>
      <c r="U35" s="407" t="inlineStr">
        <is>
          <t>СВ-2.2
Межкомнатные перегородки</t>
        </is>
      </c>
      <c r="V35" s="408" t="n">
        <v>1</v>
      </c>
      <c r="W35" s="0" t="n">
        <v>0</v>
      </c>
    </row>
    <row r="36" s="1227">
      <c r="A36" s="67" t="n"/>
      <c r="B36" s="67" t="inlineStr">
        <is>
          <t>13АВ-РД-АР1.1-К4</t>
        </is>
      </c>
      <c r="C36" s="380" t="n">
        <v>45987</v>
      </c>
      <c r="D36" s="67" t="inlineStr">
        <is>
          <t>Кладка</t>
        </is>
      </c>
      <c r="E36" s="67" t="n"/>
      <c r="F36" s="471" t="inlineStr">
        <is>
          <t>Перегородки из ПСП</t>
        </is>
      </c>
      <c r="G36" s="67" t="inlineStr">
        <is>
          <t>Корпус 4</t>
        </is>
      </c>
      <c r="H36" s="67" t="n"/>
      <c r="I36" s="67" t="n"/>
      <c r="J36" s="419" t="n"/>
      <c r="K36" s="563" t="inlineStr">
        <is>
          <t>Нижнее крепление плит ПСП к перекрытию</t>
        </is>
      </c>
      <c r="L36" s="67" t="inlineStr">
        <is>
          <t>м.п.</t>
        </is>
      </c>
      <c r="M36" s="67" t="n">
        <v>0</v>
      </c>
      <c r="N36" s="67">
        <f>W36</f>
        <v/>
      </c>
      <c r="O36" s="67" t="n">
        <v>0</v>
      </c>
      <c r="P36" s="67" t="n">
        <v>0</v>
      </c>
      <c r="Q36" s="413">
        <f>N36*V36+P36</f>
        <v/>
      </c>
      <c r="R36" s="67" t="inlineStr">
        <is>
          <t>м.п.</t>
        </is>
      </c>
      <c r="S36" s="67" t="n"/>
      <c r="T36" s="67" t="n"/>
      <c r="U36" s="471" t="inlineStr">
        <is>
          <t>Узел Е2</t>
        </is>
      </c>
      <c r="V36" s="67" t="n">
        <v>1</v>
      </c>
      <c r="W36" s="0" t="n">
        <v>0</v>
      </c>
    </row>
    <row r="37" s="1227">
      <c r="A37" s="67" t="n"/>
      <c r="B37" s="67" t="inlineStr">
        <is>
          <t>13АВ-РД-АР1.1-К4</t>
        </is>
      </c>
      <c r="C37" s="380" t="n">
        <v>45987</v>
      </c>
      <c r="D37" s="67" t="inlineStr">
        <is>
          <t>Кладка</t>
        </is>
      </c>
      <c r="E37" s="67" t="n"/>
      <c r="F37" s="471" t="inlineStr">
        <is>
          <t>Перегородки из ПСП</t>
        </is>
      </c>
      <c r="G37" s="67" t="inlineStr">
        <is>
          <t>Корпус 4</t>
        </is>
      </c>
      <c r="H37" s="67" t="n"/>
      <c r="I37" s="67" t="n"/>
      <c r="J37" s="419" t="n"/>
      <c r="K37" s="563" t="inlineStr">
        <is>
          <t>Примыкание к плите перекрытия</t>
        </is>
      </c>
      <c r="L37" s="67" t="inlineStr">
        <is>
          <t>м.п.</t>
        </is>
      </c>
      <c r="M37" s="67" t="n">
        <v>0</v>
      </c>
      <c r="N37" s="67">
        <f>W37</f>
        <v/>
      </c>
      <c r="O37" s="67" t="n">
        <v>0</v>
      </c>
      <c r="P37" s="67" t="n">
        <v>0</v>
      </c>
      <c r="Q37" s="413">
        <f>N37*V37+P37</f>
        <v/>
      </c>
      <c r="R37" s="67" t="inlineStr">
        <is>
          <t>м.п.</t>
        </is>
      </c>
      <c r="S37" s="67" t="n"/>
      <c r="T37" s="67" t="n"/>
      <c r="U37" s="471" t="inlineStr">
        <is>
          <t>Узел Е1</t>
        </is>
      </c>
      <c r="V37" s="67" t="n">
        <v>1</v>
      </c>
      <c r="W37" s="0" t="n">
        <v>0</v>
      </c>
    </row>
    <row r="38" s="1227">
      <c r="A38" s="67" t="n"/>
      <c r="B38" s="67" t="inlineStr">
        <is>
          <t>13АВ-РД-АР1.1-К4</t>
        </is>
      </c>
      <c r="C38" s="380" t="n">
        <v>45987</v>
      </c>
      <c r="D38" s="67" t="inlineStr">
        <is>
          <t>Кладка</t>
        </is>
      </c>
      <c r="E38" s="67" t="n"/>
      <c r="F38" s="471" t="inlineStr">
        <is>
          <t>Перегородки из ПСП</t>
        </is>
      </c>
      <c r="G38" s="67" t="inlineStr">
        <is>
          <t>Корпус 4</t>
        </is>
      </c>
      <c r="H38" s="67" t="n"/>
      <c r="I38" s="67" t="n"/>
      <c r="J38" s="419" t="n"/>
      <c r="K38" s="563" t="inlineStr">
        <is>
          <t>Крепление плит ПСП к жб стенам</t>
        </is>
      </c>
      <c r="L38" s="67" t="inlineStr">
        <is>
          <t>м.п.</t>
        </is>
      </c>
      <c r="M38" s="67" t="n">
        <v>0</v>
      </c>
      <c r="N38" s="67">
        <f>W38</f>
        <v/>
      </c>
      <c r="O38" s="67" t="n">
        <v>0</v>
      </c>
      <c r="P38" s="67" t="n">
        <v>0</v>
      </c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Узел В</t>
        </is>
      </c>
      <c r="V38" s="67" t="n"/>
      <c r="W38" s="0" t="n">
        <v>0</v>
      </c>
    </row>
    <row r="39">
      <c r="A39" s="408" t="inlineStr">
        <is>
          <t>мат.</t>
        </is>
      </c>
      <c r="B39" s="408" t="inlineStr">
        <is>
          <t>13АВ-РД-АР1.1-К4</t>
        </is>
      </c>
      <c r="C39" s="406" t="n">
        <v>45987</v>
      </c>
      <c r="D39" s="408" t="inlineStr">
        <is>
          <t>Кладка</t>
        </is>
      </c>
      <c r="E39" s="408" t="inlineStr">
        <is>
          <t>БАЗА</t>
        </is>
      </c>
      <c r="F39" s="408" t="inlineStr">
        <is>
          <t>Облицовка из ГКЛВ</t>
        </is>
      </c>
      <c r="G39" s="408" t="inlineStr">
        <is>
          <t>Корпус 4</t>
        </is>
      </c>
      <c r="H39" s="408" t="n"/>
      <c r="I39" s="408" t="inlineStr">
        <is>
          <t>м2</t>
        </is>
      </c>
      <c r="J39" s="408" t="n"/>
      <c r="K39" s="410" t="inlineStr">
        <is>
          <t>Облицовка из ГКЛВ (2 слоя) на штатном металлокаркасе (27 мм) с заполнением матами по типу ""Шумостоп</t>
        </is>
      </c>
      <c r="L39" s="408" t="inlineStr">
        <is>
          <t>м2</t>
        </is>
      </c>
      <c r="M39" s="408" t="n">
        <v>7.9</v>
      </c>
      <c r="N39" s="408">
        <f>W39</f>
        <v/>
      </c>
      <c r="O39" s="408" t="n">
        <v>0</v>
      </c>
      <c r="P39" s="408" t="n">
        <v>0</v>
      </c>
      <c r="Q39" s="412">
        <f>N39*V39+P39</f>
        <v/>
      </c>
      <c r="R39" s="408" t="inlineStr">
        <is>
          <t>м2</t>
        </is>
      </c>
      <c r="S39" s="408" t="n"/>
      <c r="T39" s="408" t="n"/>
      <c r="U39" s="407" t="inlineStr">
        <is>
          <t>СВ-1.3
Облицовка на металлокаркасе</t>
        </is>
      </c>
      <c r="V39" s="408" t="n">
        <v>1</v>
      </c>
      <c r="W39" s="0" t="n">
        <v>65.896</v>
      </c>
    </row>
    <row r="40" s="1227">
      <c r="A40" s="67" t="n"/>
      <c r="B40" s="67" t="inlineStr">
        <is>
          <t>13АВ-РД-АР1.1-К4</t>
        </is>
      </c>
      <c r="C40" s="380" t="n">
        <v>45987</v>
      </c>
      <c r="D40" s="67" t="inlineStr">
        <is>
          <t>Кладка</t>
        </is>
      </c>
      <c r="E40" s="67" t="n"/>
      <c r="F40" s="471" t="inlineStr">
        <is>
          <t>Перегородки из ПСП</t>
        </is>
      </c>
      <c r="G40" s="67" t="inlineStr">
        <is>
          <t>Корпус 4</t>
        </is>
      </c>
      <c r="H40" s="67" t="n"/>
      <c r="I40" s="67" t="n"/>
      <c r="J40" s="419" t="n"/>
      <c r="K40" s="563" t="inlineStr">
        <is>
          <t>Примыкание к плите перекрытия</t>
        </is>
      </c>
      <c r="L40" s="67" t="inlineStr">
        <is>
          <t>м.п.</t>
        </is>
      </c>
      <c r="M40" s="67" t="n">
        <v>0</v>
      </c>
      <c r="N40" s="67">
        <f>W40</f>
        <v/>
      </c>
      <c r="O40" s="67" t="n">
        <v>0</v>
      </c>
      <c r="P40" s="67" t="n">
        <v>0</v>
      </c>
      <c r="Q40" s="413">
        <f>N40*V40+P40</f>
        <v/>
      </c>
      <c r="R40" s="67" t="inlineStr">
        <is>
          <t>м.п.</t>
        </is>
      </c>
      <c r="S40" s="67" t="n"/>
      <c r="T40" s="67" t="n"/>
      <c r="U40" s="471" t="inlineStr">
        <is>
          <t>Узел Е1</t>
        </is>
      </c>
      <c r="V40" s="67" t="n">
        <v>1</v>
      </c>
      <c r="W40" s="0" t="n">
        <v>0</v>
      </c>
    </row>
    <row r="41" s="1227">
      <c r="A41" s="67" t="n"/>
      <c r="B41" s="67" t="inlineStr">
        <is>
          <t>13АВ-РД-АР1.1-К4</t>
        </is>
      </c>
      <c r="C41" s="380" t="n">
        <v>45987</v>
      </c>
      <c r="D41" s="67" t="inlineStr">
        <is>
          <t>Кладка</t>
        </is>
      </c>
      <c r="E41" s="67" t="n"/>
      <c r="F41" s="471" t="inlineStr">
        <is>
          <t>Перегородки из ПСП</t>
        </is>
      </c>
      <c r="G41" s="67" t="inlineStr">
        <is>
          <t>Корпус 4</t>
        </is>
      </c>
      <c r="H41" s="67" t="n"/>
      <c r="I41" s="67" t="n"/>
      <c r="J41" s="419" t="n"/>
      <c r="K41" s="563" t="inlineStr">
        <is>
          <t>Крепление плит ПСП к жб стенам</t>
        </is>
      </c>
      <c r="L41" s="67" t="inlineStr">
        <is>
          <t>м.п.</t>
        </is>
      </c>
      <c r="M41" s="67" t="n">
        <v>0</v>
      </c>
      <c r="N41" s="67">
        <f>W41</f>
        <v/>
      </c>
      <c r="O41" s="67" t="n">
        <v>0</v>
      </c>
      <c r="P41" s="67" t="n">
        <v>0</v>
      </c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Узел В</t>
        </is>
      </c>
      <c r="V41" s="67" t="n"/>
      <c r="W41" s="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24" t="inlineStr">
        <is>
          <t>Р</t>
        </is>
      </c>
      <c r="L1" s="564" t="inlineStr">
        <is>
          <t>Р</t>
        </is>
      </c>
      <c r="M1" s="423" t="inlineStr">
        <is>
          <t>Р</t>
        </is>
      </c>
      <c r="N1" s="423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424" t="inlineStr">
        <is>
          <t>Кол-во по проекту (последняя версия)</t>
        </is>
      </c>
      <c r="N2" s="4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0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426" t="inlineStr">
        <is>
          <t>Кол-во со спецификации</t>
        </is>
      </c>
      <c r="N3" s="426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0" t="inlineStr">
        <is>
          <t>Кол-во на этаже 1 (сверено с ПД floor-1)</t>
        </is>
      </c>
    </row>
    <row r="4">
      <c r="A4" s="349" t="n"/>
      <c r="B4" s="349" t="inlineStr">
        <is>
          <t>13АВ-РД-АР1.1-К5</t>
        </is>
      </c>
      <c r="C4" s="379" t="n">
        <v>45992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Зашивка по типу С625 толщиной 50 мм</t>
        </is>
      </c>
      <c r="G4" s="349" t="inlineStr">
        <is>
          <t>Корпус 5</t>
        </is>
      </c>
      <c r="H4" s="349" t="n"/>
      <c r="I4" s="349" t="inlineStr">
        <is>
          <t>м2</t>
        </is>
      </c>
      <c r="J4" s="427" t="n"/>
      <c r="K4" s="428" t="inlineStr">
        <is>
          <t>Зашивка по типу С625 из 1 слоя ГВЛ (12,5 мм) и стального каркаса с шириной профиля 27мм c заполнением минераловатными плитами</t>
        </is>
      </c>
      <c r="L4" s="349" t="inlineStr">
        <is>
          <t>м2</t>
        </is>
      </c>
      <c r="M4" s="429" t="n">
        <v>106.9</v>
      </c>
      <c r="N4" s="429" t="n">
        <v>106.9</v>
      </c>
      <c r="O4" s="349" t="n">
        <v>0</v>
      </c>
      <c r="P4" s="349" t="n">
        <v>0</v>
      </c>
      <c r="Q4" s="429">
        <f>N4*V4</f>
        <v/>
      </c>
      <c r="R4" s="349" t="inlineStr">
        <is>
          <t>м2</t>
        </is>
      </c>
      <c r="S4" s="349" t="n"/>
      <c r="T4" s="349" t="n"/>
      <c r="U4" s="346" t="inlineStr">
        <is>
          <t>ГВ-1.4</t>
        </is>
      </c>
      <c r="V4" s="349" t="n">
        <v>1</v>
      </c>
      <c r="W4" s="0" t="n">
        <v>0</v>
      </c>
    </row>
    <row r="5" s="1227">
      <c r="A5" s="349" t="n"/>
      <c r="B5" s="349" t="inlineStr">
        <is>
          <t>13АВ-РД-АР1.1-К5</t>
        </is>
      </c>
      <c r="C5" s="379" t="n">
        <v>45992</v>
      </c>
      <c r="D5" s="349" t="inlineStr">
        <is>
          <t>Кладка</t>
        </is>
      </c>
      <c r="E5" s="349" t="n"/>
      <c r="F5" s="346" t="inlineStr">
        <is>
          <t>Зашивка по типу С625 толщиной 50 мм</t>
        </is>
      </c>
      <c r="G5" s="349" t="inlineStr">
        <is>
          <t>Корпус 5</t>
        </is>
      </c>
      <c r="H5" s="349" t="n"/>
      <c r="I5" s="349" t="inlineStr">
        <is>
          <t>п.м.</t>
        </is>
      </c>
      <c r="J5" s="427" t="n"/>
      <c r="K5" s="428" t="inlineStr">
        <is>
          <t>Примыкание к плите перекрытия</t>
        </is>
      </c>
      <c r="L5" s="349" t="inlineStr">
        <is>
          <t>п.м.</t>
        </is>
      </c>
      <c r="M5" s="429" t="n">
        <v>0</v>
      </c>
      <c r="N5" s="429">
        <f>W5</f>
        <v/>
      </c>
      <c r="O5" s="349" t="n">
        <v>0</v>
      </c>
      <c r="P5" s="349" t="n">
        <v>0</v>
      </c>
      <c r="Q5" s="429">
        <f>N5*V5+P5</f>
        <v/>
      </c>
      <c r="R5" s="349" t="inlineStr">
        <is>
          <t>п.м.</t>
        </is>
      </c>
      <c r="S5" s="349" t="n"/>
      <c r="T5" s="349" t="n"/>
      <c r="U5" s="349" t="inlineStr">
        <is>
          <t>Примыкание к плите перекрытия ГВ-1.4</t>
        </is>
      </c>
      <c r="V5" s="349" t="n">
        <v>1</v>
      </c>
      <c r="W5" s="0" t="n">
        <v>0</v>
      </c>
    </row>
    <row r="6" s="1227">
      <c r="A6" s="349" t="n"/>
      <c r="B6" s="349" t="inlineStr">
        <is>
          <t>13АВ-РД-АР1.1-К5</t>
        </is>
      </c>
      <c r="C6" s="379" t="n">
        <v>45992</v>
      </c>
      <c r="D6" s="349" t="inlineStr">
        <is>
          <t>Кладка</t>
        </is>
      </c>
      <c r="E6" s="349" t="n"/>
      <c r="F6" s="346" t="inlineStr">
        <is>
          <t>Зашивка по типу С625 толщиной 50 мм</t>
        </is>
      </c>
      <c r="G6" s="349" t="inlineStr">
        <is>
          <t>Корпус 5</t>
        </is>
      </c>
      <c r="H6" s="349" t="n"/>
      <c r="I6" s="349" t="inlineStr">
        <is>
          <t>п.м.</t>
        </is>
      </c>
      <c r="J6" s="427" t="n"/>
      <c r="K6" s="428" t="inlineStr">
        <is>
          <t>Примыкание к ЖБ стенам</t>
        </is>
      </c>
      <c r="L6" s="349" t="inlineStr">
        <is>
          <t>п.м.</t>
        </is>
      </c>
      <c r="M6" s="429" t="n">
        <v>0</v>
      </c>
      <c r="N6" s="429">
        <f>W6</f>
        <v/>
      </c>
      <c r="O6" s="349" t="n">
        <v>0</v>
      </c>
      <c r="P6" s="349" t="n">
        <v>0</v>
      </c>
      <c r="Q6" s="429">
        <f>N6*V6+P6</f>
        <v/>
      </c>
      <c r="R6" s="349" t="inlineStr">
        <is>
          <t>п.м.</t>
        </is>
      </c>
      <c r="S6" s="349" t="n"/>
      <c r="T6" s="349" t="n"/>
      <c r="U6" s="349" t="inlineStr">
        <is>
          <t>Примыкание к ЖБ стенам ГВ-1.4</t>
        </is>
      </c>
      <c r="V6" s="349" t="n">
        <v>1</v>
      </c>
      <c r="W6" s="0" t="n">
        <v>0</v>
      </c>
    </row>
    <row r="7" ht="27.75" customHeight="1" s="1227">
      <c r="A7" s="349" t="inlineStr">
        <is>
          <t>мат.</t>
        </is>
      </c>
      <c r="B7" s="349" t="inlineStr">
        <is>
          <t>13АВ-РД-АР1.1-К5</t>
        </is>
      </c>
      <c r="C7" s="379" t="n">
        <v>45992</v>
      </c>
      <c r="D7" s="349" t="inlineStr">
        <is>
          <t>Кладка</t>
        </is>
      </c>
      <c r="E7" s="349" t="inlineStr">
        <is>
          <t>БАЗА</t>
        </is>
      </c>
      <c r="F7" s="346" t="inlineStr">
        <is>
          <t>Внутренние стены D600 200 мм</t>
        </is>
      </c>
      <c r="G7" s="349" t="inlineStr">
        <is>
          <t>Корпус 5</t>
        </is>
      </c>
      <c r="H7" s="349" t="n"/>
      <c r="I7" s="349" t="inlineStr">
        <is>
          <t>м3</t>
        </is>
      </c>
      <c r="J7" s="427" t="n"/>
      <c r="K7" s="428" t="inlineStr">
        <is>
          <t>Газобетонный блок, толщиной 200мм, D600</t>
        </is>
      </c>
      <c r="L7" s="349" t="inlineStr">
        <is>
          <t>м3</t>
        </is>
      </c>
      <c r="M7" s="429" t="n">
        <v>739.11</v>
      </c>
      <c r="N7" s="430">
        <f>W7</f>
        <v/>
      </c>
      <c r="O7" s="349" t="n">
        <v>0</v>
      </c>
      <c r="P7" s="349" t="n">
        <v>0</v>
      </c>
      <c r="Q7" s="429">
        <f>N7*V7+P7</f>
        <v/>
      </c>
      <c r="R7" s="349" t="inlineStr">
        <is>
          <t>м3</t>
        </is>
      </c>
      <c r="S7" s="349" t="n"/>
      <c r="T7" s="349" t="n"/>
      <c r="U7" s="346" t="inlineStr">
        <is>
          <t>СВ-1.2</t>
        </is>
      </c>
      <c r="V7" s="349" t="n">
        <v>1</v>
      </c>
      <c r="W7" s="0" t="n">
        <v>22.886</v>
      </c>
    </row>
    <row r="8" s="1227">
      <c r="A8" s="349" t="inlineStr">
        <is>
          <t>мат.</t>
        </is>
      </c>
      <c r="B8" s="349" t="inlineStr">
        <is>
          <t>13АВ-РД-АР1.1-К5</t>
        </is>
      </c>
      <c r="C8" s="379" t="n">
        <v>45992</v>
      </c>
      <c r="D8" s="349" t="inlineStr">
        <is>
          <t>Кладка</t>
        </is>
      </c>
      <c r="E8" s="349" t="n"/>
      <c r="F8" s="346" t="inlineStr">
        <is>
          <t>Внутренние стены D600 200 мм</t>
        </is>
      </c>
      <c r="G8" s="349" t="inlineStr">
        <is>
          <t>Корпус 5</t>
        </is>
      </c>
      <c r="H8" s="349" t="n"/>
      <c r="I8" s="349" t="n"/>
      <c r="J8" s="439" t="n"/>
      <c r="K8" s="431" t="inlineStr">
        <is>
          <t>Арматура 8 А500С</t>
        </is>
      </c>
      <c r="L8" s="440" t="inlineStr">
        <is>
          <t>м.п.</t>
        </is>
      </c>
      <c r="M8" s="442" t="n">
        <v>0</v>
      </c>
      <c r="N8" s="442">
        <f>W8</f>
        <v/>
      </c>
      <c r="O8" s="440" t="n">
        <v>0</v>
      </c>
      <c r="P8" s="440" t="n">
        <v>0</v>
      </c>
      <c r="Q8" s="434">
        <f>N8*V8+P8</f>
        <v/>
      </c>
      <c r="R8" s="440" t="inlineStr">
        <is>
          <t>т</t>
        </is>
      </c>
      <c r="S8" s="440" t="n"/>
      <c r="T8" s="440" t="n"/>
      <c r="U8" s="444" t="inlineStr">
        <is>
          <t>Соединения газобетон-газобетон (Г, Т). Узел К</t>
        </is>
      </c>
      <c r="V8" s="440">
        <f>0.395/1000</f>
        <v/>
      </c>
      <c r="W8" s="0" t="n">
        <v>0</v>
      </c>
    </row>
    <row r="9" s="1227">
      <c r="A9" s="349" t="inlineStr">
        <is>
          <t>мат.</t>
        </is>
      </c>
      <c r="B9" s="349" t="inlineStr">
        <is>
          <t>13АВ-РД-АР1.1-К5</t>
        </is>
      </c>
      <c r="C9" s="379" t="n">
        <v>45992</v>
      </c>
      <c r="D9" s="349" t="inlineStr">
        <is>
          <t>Кладка</t>
        </is>
      </c>
      <c r="E9" s="349" t="n"/>
      <c r="F9" s="346" t="inlineStr">
        <is>
          <t>Внутренние стены D600 200 мм</t>
        </is>
      </c>
      <c r="G9" s="349" t="inlineStr">
        <is>
          <t>Корпус 5</t>
        </is>
      </c>
      <c r="H9" s="349" t="n"/>
      <c r="I9" s="349" t="n"/>
      <c r="J9" s="439" t="n"/>
      <c r="K9" s="431" t="inlineStr">
        <is>
          <t>Базальтовая сетка для армирования кладки</t>
        </is>
      </c>
      <c r="L9" s="440" t="inlineStr">
        <is>
          <t>м2</t>
        </is>
      </c>
      <c r="M9" s="442" t="n">
        <v>0</v>
      </c>
      <c r="N9" s="442">
        <f>W9</f>
        <v/>
      </c>
      <c r="O9" s="440" t="n">
        <v>0</v>
      </c>
      <c r="P9" s="440" t="n">
        <v>0</v>
      </c>
      <c r="Q9" s="442">
        <f>N9*V9+P9</f>
        <v/>
      </c>
      <c r="R9" s="440" t="inlineStr">
        <is>
          <t>м2</t>
        </is>
      </c>
      <c r="S9" s="440" t="n"/>
      <c r="T9" s="440" t="n"/>
      <c r="U9" s="444" t="inlineStr">
        <is>
          <t>Армирование кладки СВ1.2 через каждые 3 ряда</t>
        </is>
      </c>
      <c r="V9" s="440" t="n">
        <v>1</v>
      </c>
      <c r="W9" s="0" t="n">
        <v>0</v>
      </c>
    </row>
    <row r="10" s="1227">
      <c r="A10" s="349" t="inlineStr">
        <is>
          <t>мат.</t>
        </is>
      </c>
      <c r="B10" s="349" t="inlineStr">
        <is>
          <t>13АВ-РД-АР1.1-К5</t>
        </is>
      </c>
      <c r="C10" s="379" t="n">
        <v>45992</v>
      </c>
      <c r="D10" s="349" t="inlineStr">
        <is>
          <t>Кладка</t>
        </is>
      </c>
      <c r="E10" s="349" t="n"/>
      <c r="F10" s="346" t="inlineStr">
        <is>
          <t>Внутренние стены D600 200 мм</t>
        </is>
      </c>
      <c r="G10" s="349" t="inlineStr">
        <is>
          <t>Корпус 5</t>
        </is>
      </c>
      <c r="H10" s="349" t="n"/>
      <c r="I10" s="349" t="n"/>
      <c r="J10" s="439" t="n"/>
      <c r="K10" s="431" t="inlineStr">
        <is>
          <t>Цементно-песчаный раствор М100</t>
        </is>
      </c>
      <c r="L10" s="440" t="inlineStr">
        <is>
          <t>м3</t>
        </is>
      </c>
      <c r="M10" s="442" t="n">
        <v>0</v>
      </c>
      <c r="N10" s="442">
        <f>W10</f>
        <v/>
      </c>
      <c r="O10" s="440" t="n">
        <v>0</v>
      </c>
      <c r="P10" s="440" t="n">
        <v>0</v>
      </c>
      <c r="Q10" s="442">
        <f>N10*V10+P10</f>
        <v/>
      </c>
      <c r="R10" s="440" t="inlineStr">
        <is>
          <t>м3</t>
        </is>
      </c>
      <c r="S10" s="440" t="n"/>
      <c r="T10" s="440" t="n"/>
      <c r="U10" s="444" t="inlineStr">
        <is>
          <t>Подушка под стену СВ-1.2
Узел Б2</t>
        </is>
      </c>
      <c r="V10" s="440" t="n">
        <v>1</v>
      </c>
      <c r="W10" s="0" t="n">
        <v>0</v>
      </c>
    </row>
    <row r="11" s="1227">
      <c r="A11" s="349" t="inlineStr">
        <is>
          <t>мат.</t>
        </is>
      </c>
      <c r="B11" s="349" t="inlineStr">
        <is>
          <t>13АВ-РД-АР1.1-К5</t>
        </is>
      </c>
      <c r="C11" s="379" t="n">
        <v>45992</v>
      </c>
      <c r="D11" s="349" t="inlineStr">
        <is>
          <t>Кладка</t>
        </is>
      </c>
      <c r="E11" s="349" t="n"/>
      <c r="F11" s="346" t="inlineStr">
        <is>
          <t>Внутренние стены D600 200 мм</t>
        </is>
      </c>
      <c r="G11" s="349" t="inlineStr">
        <is>
          <t>Корпус 5</t>
        </is>
      </c>
      <c r="H11" s="349" t="n"/>
      <c r="I11" s="349" t="n"/>
      <c r="J11" s="439" t="n"/>
      <c r="K11" s="431" t="inlineStr">
        <is>
          <t>Вибродемпфирующая вставка по типу "Вибросил" 50 мм</t>
        </is>
      </c>
      <c r="L11" s="440" t="inlineStr">
        <is>
          <t>м3</t>
        </is>
      </c>
      <c r="M11" s="442" t="n">
        <v>0</v>
      </c>
      <c r="N11" s="442">
        <f>W11</f>
        <v/>
      </c>
      <c r="O11" s="440" t="n">
        <v>0</v>
      </c>
      <c r="P11" s="440" t="n">
        <v>0</v>
      </c>
      <c r="Q11" s="442">
        <f>N11*V11+P11</f>
        <v/>
      </c>
      <c r="R11" s="440" t="inlineStr">
        <is>
          <t>м3</t>
        </is>
      </c>
      <c r="S11" s="440" t="n"/>
      <c r="T11" s="440" t="n"/>
      <c r="U11" s="444" t="inlineStr">
        <is>
          <t xml:space="preserve">Примечания п.4. Есть решение по замене на минвату, вилотерм и герметик Технониколь ПУ, направлено на рассмотрение проектировщикам </t>
        </is>
      </c>
      <c r="V11" s="440" t="n">
        <v>1</v>
      </c>
      <c r="W11" s="0" t="n">
        <v>0</v>
      </c>
    </row>
    <row r="12" s="1227">
      <c r="A12" s="349" t="n"/>
      <c r="B12" s="349" t="inlineStr">
        <is>
          <t>13АВ-РД-АР1.1-К5</t>
        </is>
      </c>
      <c r="C12" s="379" t="n">
        <v>45992</v>
      </c>
      <c r="D12" s="349" t="inlineStr">
        <is>
          <t>Кладка</t>
        </is>
      </c>
      <c r="E12" s="349" t="n"/>
      <c r="F12" s="346" t="inlineStr">
        <is>
          <t>Внутренние стены D600 200 мм</t>
        </is>
      </c>
      <c r="G12" s="349" t="inlineStr">
        <is>
          <t>Корпус 5</t>
        </is>
      </c>
      <c r="H12" s="349" t="n"/>
      <c r="I12" s="349" t="n"/>
      <c r="J12" s="439" t="n"/>
      <c r="K12" s="431" t="inlineStr">
        <is>
          <t>Примыкание к плите перекрытия</t>
        </is>
      </c>
      <c r="L12" s="440" t="inlineStr">
        <is>
          <t>м.п.</t>
        </is>
      </c>
      <c r="M12" s="442" t="n">
        <v>0</v>
      </c>
      <c r="N12" s="437">
        <f>W12</f>
        <v/>
      </c>
      <c r="O12" s="440" t="n">
        <v>0</v>
      </c>
      <c r="P12" s="440" t="n">
        <v>0</v>
      </c>
      <c r="Q12" s="442">
        <f>N12*V12+P12</f>
        <v/>
      </c>
      <c r="R12" s="440" t="inlineStr">
        <is>
          <t>м.п.</t>
        </is>
      </c>
      <c r="S12" s="440" t="n"/>
      <c r="T12" s="440" t="n"/>
      <c r="U12" s="444" t="inlineStr">
        <is>
          <t>Верхнее крепление газобетонных блоков СВ-1.2 к перекрытию (узел Б1)</t>
        </is>
      </c>
      <c r="V12" s="440" t="n">
        <v>1</v>
      </c>
      <c r="W12" s="0" t="n">
        <v>0</v>
      </c>
    </row>
    <row r="13" s="1227">
      <c r="A13" s="349" t="inlineStr">
        <is>
          <t>мат.</t>
        </is>
      </c>
      <c r="B13" s="349" t="inlineStr">
        <is>
          <t>13АВ-РД-АР1.1-К5</t>
        </is>
      </c>
      <c r="C13" s="379" t="n">
        <v>45992</v>
      </c>
      <c r="D13" s="349" t="inlineStr">
        <is>
          <t>Кладка</t>
        </is>
      </c>
      <c r="E13" s="349" t="n"/>
      <c r="F13" s="346" t="inlineStr">
        <is>
          <t>Внутренние стены D600 200 мм</t>
        </is>
      </c>
      <c r="G13" s="349" t="inlineStr">
        <is>
          <t>Корпус 5</t>
        </is>
      </c>
      <c r="H13" s="349" t="n"/>
      <c r="I13" s="349" t="n"/>
      <c r="J13" s="439" t="n"/>
      <c r="K13" s="431" t="inlineStr">
        <is>
          <t>Уголок 75х50х5 ГОСТ 8510-86</t>
        </is>
      </c>
      <c r="L13" s="440" t="inlineStr">
        <is>
          <t>м.п.</t>
        </is>
      </c>
      <c r="M13" s="442" t="n">
        <v>0</v>
      </c>
      <c r="N13" s="442">
        <f>W13</f>
        <v/>
      </c>
      <c r="O13" s="440" t="n">
        <v>0</v>
      </c>
      <c r="P13" s="440" t="n">
        <v>0</v>
      </c>
      <c r="Q13" s="437">
        <f>N13*V13+P13</f>
        <v/>
      </c>
      <c r="R13" s="440" t="inlineStr">
        <is>
          <t>т</t>
        </is>
      </c>
      <c r="S13" s="440" t="n"/>
      <c r="T13" s="440" t="n"/>
      <c r="U13" s="444" t="inlineStr">
        <is>
          <t>Материал крепления газобетонных блоков СВ-1.2 к перекрытию (узел Б1)</t>
        </is>
      </c>
      <c r="V13" s="440" t="n">
        <v>0.00479</v>
      </c>
      <c r="W13" s="0" t="n">
        <v>0</v>
      </c>
    </row>
    <row r="14" s="1227">
      <c r="A14" s="349" t="inlineStr">
        <is>
          <t>мат.</t>
        </is>
      </c>
      <c r="B14" s="349" t="inlineStr">
        <is>
          <t>13АВ-РД-АР1.1-К5</t>
        </is>
      </c>
      <c r="C14" s="379" t="n">
        <v>45992</v>
      </c>
      <c r="D14" s="349" t="inlineStr">
        <is>
          <t>Кладка</t>
        </is>
      </c>
      <c r="E14" s="349" t="n"/>
      <c r="F14" s="346" t="inlineStr">
        <is>
          <t>Внутренние стены D600 200 мм</t>
        </is>
      </c>
      <c r="G14" s="349" t="inlineStr">
        <is>
          <t>Корпус 5</t>
        </is>
      </c>
      <c r="H14" s="349" t="n"/>
      <c r="I14" s="349" t="n"/>
      <c r="J14" s="439" t="n"/>
      <c r="K14" s="431" t="inlineStr">
        <is>
          <t>Грунтовка ГФ-021</t>
        </is>
      </c>
      <c r="L14" s="440" t="inlineStr">
        <is>
          <t>м2</t>
        </is>
      </c>
      <c r="M14" s="442" t="n">
        <v>0</v>
      </c>
      <c r="N14" s="442">
        <f>W14</f>
        <v/>
      </c>
      <c r="O14" s="440" t="n">
        <v>0</v>
      </c>
      <c r="P14" s="440" t="n">
        <v>0</v>
      </c>
      <c r="Q14" s="442">
        <f>N14*V14+P14</f>
        <v/>
      </c>
      <c r="R14" s="440" t="inlineStr">
        <is>
          <t>кг</t>
        </is>
      </c>
      <c r="S14" s="440" t="n"/>
      <c r="T14" s="440" t="n"/>
      <c r="U14" s="444" t="inlineStr">
        <is>
          <t>АКЗ металла (посчитано на 242,45 м.п. уголка)</t>
        </is>
      </c>
      <c r="V14" s="440" t="n">
        <v>0.2</v>
      </c>
      <c r="W14" s="0" t="n">
        <v>0</v>
      </c>
    </row>
    <row r="15" s="1227">
      <c r="A15" s="349" t="inlineStr">
        <is>
          <t>мат.</t>
        </is>
      </c>
      <c r="B15" s="349" t="inlineStr">
        <is>
          <t>13АВ-РД-АР1.1-К5</t>
        </is>
      </c>
      <c r="C15" s="379" t="n">
        <v>45992</v>
      </c>
      <c r="D15" s="349" t="inlineStr">
        <is>
          <t>Кладка</t>
        </is>
      </c>
      <c r="E15" s="349" t="n"/>
      <c r="F15" s="346" t="inlineStr">
        <is>
          <t>Внутренние стены D600 200 мм</t>
        </is>
      </c>
      <c r="G15" s="349" t="inlineStr">
        <is>
          <t>Корпус 5</t>
        </is>
      </c>
      <c r="H15" s="349" t="n"/>
      <c r="I15" s="349" t="n"/>
      <c r="J15" s="439" t="n"/>
      <c r="K15" s="431" t="inlineStr">
        <is>
          <t>Эмаль ПФ-115</t>
        </is>
      </c>
      <c r="L15" s="440" t="inlineStr">
        <is>
          <t>м2</t>
        </is>
      </c>
      <c r="M15" s="442" t="n">
        <v>0</v>
      </c>
      <c r="N15" s="442">
        <f>W15</f>
        <v/>
      </c>
      <c r="O15" s="440" t="n">
        <v>0</v>
      </c>
      <c r="P15" s="440" t="n">
        <v>0</v>
      </c>
      <c r="Q15" s="442">
        <f>N15*V15+P15</f>
        <v/>
      </c>
      <c r="R15" s="440" t="inlineStr">
        <is>
          <t>кг</t>
        </is>
      </c>
      <c r="S15" s="440" t="n"/>
      <c r="T15" s="440" t="n"/>
      <c r="U15" s="444" t="inlineStr">
        <is>
          <t>АКЗ металла (посчитано на 242,45 м.п. уголка)</t>
        </is>
      </c>
      <c r="V15" s="440" t="n">
        <v>0.3</v>
      </c>
      <c r="W15" s="0" t="n">
        <v>0</v>
      </c>
    </row>
    <row r="16" s="1227">
      <c r="A16" s="349" t="inlineStr">
        <is>
          <t>мат.</t>
        </is>
      </c>
      <c r="B16" s="349" t="inlineStr">
        <is>
          <t>13АВ-РД-АР1.1-К5</t>
        </is>
      </c>
      <c r="C16" s="379" t="n">
        <v>45992</v>
      </c>
      <c r="D16" s="349" t="inlineStr">
        <is>
          <t>Кладка</t>
        </is>
      </c>
      <c r="E16" s="349" t="n"/>
      <c r="F16" s="346" t="inlineStr">
        <is>
          <t>Внутренние стены D600 200 мм</t>
        </is>
      </c>
      <c r="G16" s="349" t="inlineStr">
        <is>
          <t>Корпус 5</t>
        </is>
      </c>
      <c r="H16" s="349" t="n"/>
      <c r="I16" s="349" t="n"/>
      <c r="J16" s="439" t="n"/>
      <c r="K16" s="431" t="inlineStr">
        <is>
          <t>Минераловатные плиты средней жесткости р=37-45 кг/м³, λ=0,039 Вт/м°С</t>
        </is>
      </c>
      <c r="L16" s="440" t="inlineStr">
        <is>
          <t>м3</t>
        </is>
      </c>
      <c r="M16" s="442" t="n">
        <v>0</v>
      </c>
      <c r="N16" s="437">
        <f>W16</f>
        <v/>
      </c>
      <c r="O16" s="440" t="n">
        <v>0</v>
      </c>
      <c r="P16" s="440" t="n">
        <v>0</v>
      </c>
      <c r="Q16" s="442">
        <f>N16*V16+P16</f>
        <v/>
      </c>
      <c r="R16" s="440" t="inlineStr">
        <is>
          <t>м3</t>
        </is>
      </c>
      <c r="S16" s="440" t="n"/>
      <c r="T16" s="440" t="n"/>
      <c r="U16" s="444" t="inlineStr">
        <is>
          <t>Материал крепления газобетонных блоков СВ-1.2 к перекрытию (узел Б1)</t>
        </is>
      </c>
      <c r="V16" s="440" t="n">
        <v>1</v>
      </c>
      <c r="W16" s="0" t="n">
        <v>0</v>
      </c>
    </row>
    <row r="17" s="1227">
      <c r="A17" s="349" t="inlineStr">
        <is>
          <t>мат.</t>
        </is>
      </c>
      <c r="B17" s="349" t="inlineStr">
        <is>
          <t>13АВ-РД-АР1.1-К5</t>
        </is>
      </c>
      <c r="C17" s="379" t="n">
        <v>45992</v>
      </c>
      <c r="D17" s="349" t="inlineStr">
        <is>
          <t>Кладка</t>
        </is>
      </c>
      <c r="E17" s="349" t="n"/>
      <c r="F17" s="346" t="inlineStr">
        <is>
          <t>Внутренние стены D600 200 мм</t>
        </is>
      </c>
      <c r="G17" s="349" t="inlineStr">
        <is>
          <t>Корпус 5</t>
        </is>
      </c>
      <c r="H17" s="349" t="n"/>
      <c r="I17" s="349" t="n"/>
      <c r="J17" s="439" t="n"/>
      <c r="K17" s="431" t="inlineStr">
        <is>
          <t>Цементно-песчаный раствор М100</t>
        </is>
      </c>
      <c r="L17" s="440" t="inlineStr">
        <is>
          <t>м3</t>
        </is>
      </c>
      <c r="M17" s="442" t="n">
        <v>0</v>
      </c>
      <c r="N17" s="442">
        <f>W17</f>
        <v/>
      </c>
      <c r="O17" s="440" t="n">
        <v>0</v>
      </c>
      <c r="P17" s="440" t="n">
        <v>0</v>
      </c>
      <c r="Q17" s="442">
        <f>N17*V17+P17</f>
        <v/>
      </c>
      <c r="R17" s="440" t="inlineStr">
        <is>
          <t>м3</t>
        </is>
      </c>
      <c r="S17" s="440" t="n"/>
      <c r="T17" s="440" t="n"/>
      <c r="U17" s="444" t="inlineStr">
        <is>
          <t>Материал крепления газобетонных блоков СВ-1.2 к перекрытию (узел Б1)</t>
        </is>
      </c>
      <c r="V17" s="440" t="n">
        <v>1</v>
      </c>
      <c r="W17" s="0" t="n">
        <v>0</v>
      </c>
    </row>
    <row r="18" s="1227">
      <c r="A18" s="349" t="inlineStr">
        <is>
          <t>мат.</t>
        </is>
      </c>
      <c r="B18" s="349" t="inlineStr">
        <is>
          <t>13АВ-РД-АР1.1-К5</t>
        </is>
      </c>
      <c r="C18" s="379" t="n">
        <v>45992</v>
      </c>
      <c r="D18" s="349" t="inlineStr">
        <is>
          <t>Кладка</t>
        </is>
      </c>
      <c r="E18" s="349" t="n"/>
      <c r="F18" s="346" t="inlineStr">
        <is>
          <t>Внутренние стены D600 200 мм</t>
        </is>
      </c>
      <c r="G18" s="349" t="inlineStr">
        <is>
          <t>Корпус 5</t>
        </is>
      </c>
      <c r="H18" s="349" t="n"/>
      <c r="I18" s="349" t="n"/>
      <c r="J18" s="439" t="n"/>
      <c r="K18" s="431" t="inlineStr">
        <is>
          <t>Анкер М6х65</t>
        </is>
      </c>
      <c r="L18" s="440" t="inlineStr">
        <is>
          <t>шт</t>
        </is>
      </c>
      <c r="M18" s="442" t="n">
        <v>0</v>
      </c>
      <c r="N18" s="437">
        <f>W18</f>
        <v/>
      </c>
      <c r="O18" s="440" t="n">
        <v>0</v>
      </c>
      <c r="P18" s="440" t="n">
        <v>0</v>
      </c>
      <c r="Q18" s="442">
        <f>N18*V18+P18</f>
        <v/>
      </c>
      <c r="R18" s="440" t="inlineStr">
        <is>
          <t>шт</t>
        </is>
      </c>
      <c r="S18" s="440" t="n"/>
      <c r="T18" s="440" t="n"/>
      <c r="U18" s="444" t="inlineStr">
        <is>
          <t>Материал крепления газобетонных блоков СВ-1.2 к перекрытию (узел Б1)</t>
        </is>
      </c>
      <c r="V18" s="440" t="n">
        <v>1</v>
      </c>
      <c r="W18" s="0" t="n">
        <v>0</v>
      </c>
    </row>
    <row r="19" s="1227">
      <c r="A19" s="349" t="n"/>
      <c r="B19" s="349" t="inlineStr">
        <is>
          <t>13АВ-РД-АР1.1-К5</t>
        </is>
      </c>
      <c r="C19" s="379" t="n">
        <v>45992</v>
      </c>
      <c r="D19" s="349" t="inlineStr">
        <is>
          <t>Кладка</t>
        </is>
      </c>
      <c r="E19" s="349" t="n"/>
      <c r="F19" s="346" t="inlineStr">
        <is>
          <t>Внутренние стены D600 200 мм</t>
        </is>
      </c>
      <c r="G19" s="349" t="inlineStr">
        <is>
          <t>Корпус 5</t>
        </is>
      </c>
      <c r="H19" s="349" t="n"/>
      <c r="I19" s="349" t="n"/>
      <c r="J19" s="439" t="n"/>
      <c r="K19" s="431" t="inlineStr">
        <is>
          <t>Крепление газобетонных блоков к жб стенам</t>
        </is>
      </c>
      <c r="L19" s="440" t="inlineStr">
        <is>
          <t>м.п.</t>
        </is>
      </c>
      <c r="M19" s="442" t="n">
        <v>0</v>
      </c>
      <c r="N19" s="442">
        <f>W19</f>
        <v/>
      </c>
      <c r="O19" s="440" t="n">
        <v>0</v>
      </c>
      <c r="P19" s="440" t="n">
        <v>0</v>
      </c>
      <c r="Q19" s="442">
        <f>N19*V19+P19</f>
        <v/>
      </c>
      <c r="R19" s="440" t="inlineStr">
        <is>
          <t>м.п.</t>
        </is>
      </c>
      <c r="S19" s="440" t="n"/>
      <c r="T19" s="440" t="n"/>
      <c r="U19" s="444" t="inlineStr">
        <is>
          <t>Крепление блоков СВ-1.2 к стенам (узел А)</t>
        </is>
      </c>
      <c r="V19" s="440" t="n">
        <v>1</v>
      </c>
      <c r="W19" s="0" t="n">
        <v>0</v>
      </c>
    </row>
    <row r="20" s="1227">
      <c r="A20" s="349" t="inlineStr">
        <is>
          <t>мат.</t>
        </is>
      </c>
      <c r="B20" s="349" t="inlineStr">
        <is>
          <t>13АВ-РД-АР1.1-К5</t>
        </is>
      </c>
      <c r="C20" s="379" t="n">
        <v>45992</v>
      </c>
      <c r="D20" s="349" t="inlineStr">
        <is>
          <t>Кладка</t>
        </is>
      </c>
      <c r="E20" s="349" t="n"/>
      <c r="F20" s="346" t="inlineStr">
        <is>
          <t>Внутренние стены D600 200 мм</t>
        </is>
      </c>
      <c r="G20" s="349" t="inlineStr">
        <is>
          <t>Корпус 5</t>
        </is>
      </c>
      <c r="H20" s="349" t="n"/>
      <c r="I20" s="349" t="n"/>
      <c r="J20" s="439" t="n"/>
      <c r="K20" s="431" t="inlineStr">
        <is>
          <t>Клеевой раствор</t>
        </is>
      </c>
      <c r="L20" s="440" t="inlineStr">
        <is>
          <t>м3</t>
        </is>
      </c>
      <c r="M20" s="442" t="n">
        <v>0</v>
      </c>
      <c r="N20" s="442">
        <f>W20</f>
        <v/>
      </c>
      <c r="O20" s="440" t="n">
        <v>0</v>
      </c>
      <c r="P20" s="440" t="n">
        <v>0</v>
      </c>
      <c r="Q20" s="442">
        <f>N20*V20+P20</f>
        <v/>
      </c>
      <c r="R20" s="440" t="inlineStr">
        <is>
          <t>м3</t>
        </is>
      </c>
      <c r="S20" s="440" t="n"/>
      <c r="T20" s="440" t="n"/>
      <c r="U20" s="444" t="inlineStr">
        <is>
          <t>Материал крепления блоков СВ-1.2 к стенам (узел А)</t>
        </is>
      </c>
      <c r="V20" s="440" t="n">
        <v>1</v>
      </c>
      <c r="W20" s="0" t="n">
        <v>0</v>
      </c>
    </row>
    <row r="21" s="1227">
      <c r="A21" s="349" t="inlineStr">
        <is>
          <t>мат.</t>
        </is>
      </c>
      <c r="B21" s="349" t="inlineStr">
        <is>
          <t>13АВ-РД-АР1.1-К5</t>
        </is>
      </c>
      <c r="C21" s="379" t="n">
        <v>45992</v>
      </c>
      <c r="D21" s="349" t="inlineStr">
        <is>
          <t>Кладка</t>
        </is>
      </c>
      <c r="E21" s="349" t="n"/>
      <c r="F21" s="346" t="inlineStr">
        <is>
          <t>Внутренние стены D600 200 мм</t>
        </is>
      </c>
      <c r="G21" s="349" t="inlineStr">
        <is>
          <t>Корпус 5</t>
        </is>
      </c>
      <c r="H21" s="349" t="n"/>
      <c r="I21" s="349" t="n"/>
      <c r="J21" s="439" t="n"/>
      <c r="K21" s="431" t="inlineStr">
        <is>
          <t>Перфорированная оцинкованная полоса 1,5х30 мм</t>
        </is>
      </c>
      <c r="L21" s="440" t="inlineStr">
        <is>
          <t>м.п.</t>
        </is>
      </c>
      <c r="M21" s="442" t="n">
        <v>0</v>
      </c>
      <c r="N21" s="437">
        <f>W21</f>
        <v/>
      </c>
      <c r="O21" s="440" t="n">
        <v>0</v>
      </c>
      <c r="P21" s="440" t="n">
        <v>0</v>
      </c>
      <c r="Q21" s="442">
        <f>N21*V21+P21</f>
        <v/>
      </c>
      <c r="R21" s="440" t="inlineStr">
        <is>
          <t>м.п.</t>
        </is>
      </c>
      <c r="S21" s="440" t="n"/>
      <c r="T21" s="440" t="n"/>
      <c r="U21" s="444" t="inlineStr">
        <is>
          <t>Материал крепления блоков СВ-1.2 к стенам (узел А)</t>
        </is>
      </c>
      <c r="V21" s="440" t="n">
        <v>1</v>
      </c>
      <c r="W21" s="0" t="n">
        <v>0</v>
      </c>
    </row>
    <row r="22" s="1227">
      <c r="A22" s="349" t="inlineStr">
        <is>
          <t>мат.</t>
        </is>
      </c>
      <c r="B22" s="349" t="inlineStr">
        <is>
          <t>13АВ-РД-АР1.1-К5</t>
        </is>
      </c>
      <c r="C22" s="379" t="n">
        <v>45992</v>
      </c>
      <c r="D22" s="349" t="inlineStr">
        <is>
          <t>Кладка</t>
        </is>
      </c>
      <c r="E22" s="349" t="n"/>
      <c r="F22" s="346" t="inlineStr">
        <is>
          <t>Внутренние стены D600 200 мм</t>
        </is>
      </c>
      <c r="G22" s="349" t="inlineStr">
        <is>
          <t>Корпус 5</t>
        </is>
      </c>
      <c r="H22" s="349" t="n"/>
      <c r="I22" s="349" t="n"/>
      <c r="J22" s="439" t="n"/>
      <c r="K22" s="431" t="inlineStr">
        <is>
          <t>Дюбель гвоздь 5х50</t>
        </is>
      </c>
      <c r="L22" s="440" t="inlineStr">
        <is>
          <t>шт</t>
        </is>
      </c>
      <c r="M22" s="442" t="n">
        <v>0</v>
      </c>
      <c r="N22" s="437">
        <f>W22</f>
        <v/>
      </c>
      <c r="O22" s="440" t="n">
        <v>0</v>
      </c>
      <c r="P22" s="440" t="n">
        <v>0</v>
      </c>
      <c r="Q22" s="442">
        <f>N22*V22+P22</f>
        <v/>
      </c>
      <c r="R22" s="440" t="inlineStr">
        <is>
          <t>шт</t>
        </is>
      </c>
      <c r="S22" s="440" t="n"/>
      <c r="T22" s="440" t="n"/>
      <c r="U22" s="444" t="inlineStr">
        <is>
          <t>Материал крепления блоков СВ-1.2 к стенам (узел А)</t>
        </is>
      </c>
      <c r="V22" s="440" t="n">
        <v>1</v>
      </c>
      <c r="W22" s="0" t="n">
        <v>0</v>
      </c>
    </row>
    <row r="23" s="1227">
      <c r="A23" s="349" t="inlineStr">
        <is>
          <t>мат.</t>
        </is>
      </c>
      <c r="B23" s="349" t="inlineStr">
        <is>
          <t>13АВ-РД-АР1.1-К5</t>
        </is>
      </c>
      <c r="C23" s="379" t="n">
        <v>45992</v>
      </c>
      <c r="D23" s="349" t="inlineStr">
        <is>
          <t>Кладка</t>
        </is>
      </c>
      <c r="E23" s="349" t="n"/>
      <c r="F23" s="346" t="inlineStr">
        <is>
          <t>Внутренние стены D600 200 мм</t>
        </is>
      </c>
      <c r="G23" s="349" t="inlineStr">
        <is>
          <t>Корпус 5</t>
        </is>
      </c>
      <c r="H23" s="349" t="n"/>
      <c r="I23" s="349" t="n"/>
      <c r="J23" s="439" t="n"/>
      <c r="K23" s="431" t="inlineStr">
        <is>
          <t>Дюбель гвоздь 5х100</t>
        </is>
      </c>
      <c r="L23" s="440" t="inlineStr">
        <is>
          <t>шт</t>
        </is>
      </c>
      <c r="M23" s="442" t="n">
        <v>0</v>
      </c>
      <c r="N23" s="437">
        <f>W23</f>
        <v/>
      </c>
      <c r="O23" s="440" t="n">
        <v>0</v>
      </c>
      <c r="P23" s="440" t="n">
        <v>0</v>
      </c>
      <c r="Q23" s="442">
        <f>N23*V23+P23</f>
        <v/>
      </c>
      <c r="R23" s="440" t="inlineStr">
        <is>
          <t>шт</t>
        </is>
      </c>
      <c r="S23" s="440" t="n"/>
      <c r="T23" s="440" t="n"/>
      <c r="U23" s="444" t="inlineStr">
        <is>
          <t>Материал крепления блоков СВ-1.2 к стенам (узел А)</t>
        </is>
      </c>
      <c r="V23" s="440" t="n">
        <v>1</v>
      </c>
      <c r="W23" s="0" t="n">
        <v>0</v>
      </c>
    </row>
    <row r="24" s="1227">
      <c r="A24" s="349" t="inlineStr">
        <is>
          <t>мат.</t>
        </is>
      </c>
      <c r="B24" s="349" t="inlineStr">
        <is>
          <t>13АВ-РД-АР1.1-К5</t>
        </is>
      </c>
      <c r="C24" s="379" t="n">
        <v>45992</v>
      </c>
      <c r="D24" s="349" t="inlineStr">
        <is>
          <t>Кладка</t>
        </is>
      </c>
      <c r="E24" s="349" t="inlineStr">
        <is>
          <t>БАЗА</t>
        </is>
      </c>
      <c r="F24" s="346" t="inlineStr">
        <is>
          <t>Перемычки внутренних стен D600 200 мм</t>
        </is>
      </c>
      <c r="G24" s="349" t="inlineStr">
        <is>
          <t>Корпус 5</t>
        </is>
      </c>
      <c r="H24" s="349" t="n"/>
      <c r="I24" s="349" t="n"/>
      <c r="J24" s="439" t="n"/>
      <c r="K24" s="428" t="inlineStr">
        <is>
          <t>Пластина 50x4 (L=100мм)</t>
        </is>
      </c>
      <c r="L24" s="349" t="inlineStr">
        <is>
          <t>т</t>
        </is>
      </c>
      <c r="M24" s="442">
        <f>(34.034+29.172+11.05+6.188+0.88+6.188)/1000</f>
        <v/>
      </c>
      <c r="N24" s="442">
        <f>(34.034+29.172+11.05+6.188+0.88+6.188)/1000</f>
        <v/>
      </c>
      <c r="O24" s="440" t="n">
        <v>0</v>
      </c>
      <c r="P24" s="440" t="n">
        <v>0</v>
      </c>
      <c r="Q24" s="442">
        <f>(559.03+415.272+169.4+15+64.372)/1000</f>
        <v/>
      </c>
      <c r="R24" s="349" t="inlineStr">
        <is>
          <t>т</t>
        </is>
      </c>
      <c r="S24" s="349" t="n"/>
      <c r="T24" s="349" t="n"/>
      <c r="U24" s="346" t="inlineStr">
        <is>
          <t>ПР-1 - 77 штук
ПР-16 - 14 штук
ПР-15 - 2 штук
ПР-2 -66 штук
ПР-3 - 25 штук
ПР-4 - 14 штук</t>
        </is>
      </c>
      <c r="V24" s="440" t="n"/>
    </row>
    <row r="25" s="1227">
      <c r="A25" s="349" t="inlineStr">
        <is>
          <t>мат.</t>
        </is>
      </c>
      <c r="B25" s="349" t="inlineStr">
        <is>
          <t>13АВ-РД-АР1.1-К5</t>
        </is>
      </c>
      <c r="C25" s="379" t="n">
        <v>45992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Перемычки внутренних стен D600 200 мм</t>
        </is>
      </c>
      <c r="G25" s="349" t="inlineStr">
        <is>
          <t>Корпус 5</t>
        </is>
      </c>
      <c r="H25" s="349" t="n"/>
      <c r="I25" s="349" t="n"/>
      <c r="J25" s="439" t="n"/>
      <c r="K25" s="428" t="inlineStr">
        <is>
          <t xml:space="preserve">Уголок 40x5 </t>
        </is>
      </c>
      <c r="L25" s="349" t="inlineStr">
        <is>
          <t>т</t>
        </is>
      </c>
      <c r="M25" s="442">
        <f>(559.03+415.272+169.4+15+64.372)/1000</f>
        <v/>
      </c>
      <c r="N25" s="442">
        <f>(559.03+415.272+169.4+15+64.372)/1000</f>
        <v/>
      </c>
      <c r="O25" s="440" t="n">
        <v>0</v>
      </c>
      <c r="P25" s="440" t="n">
        <v>0</v>
      </c>
      <c r="Q25" s="442">
        <f>(559.03+415.272+169.4+15+64.372)/1000</f>
        <v/>
      </c>
      <c r="R25" s="349" t="inlineStr">
        <is>
          <t>т</t>
        </is>
      </c>
      <c r="S25" s="349" t="n"/>
      <c r="T25" s="349" t="n"/>
      <c r="U25" s="346" t="n"/>
      <c r="V25" s="440" t="n"/>
    </row>
    <row r="26" s="1227">
      <c r="A26" s="349" t="inlineStr">
        <is>
          <t>мат.</t>
        </is>
      </c>
      <c r="B26" s="349" t="inlineStr">
        <is>
          <t>13АВ-РД-АР1.1-К5</t>
        </is>
      </c>
      <c r="C26" s="379" t="n">
        <v>45992</v>
      </c>
      <c r="D26" s="349" t="inlineStr">
        <is>
          <t>Кладка</t>
        </is>
      </c>
      <c r="E26" s="349" t="inlineStr">
        <is>
          <t>БАЗА</t>
        </is>
      </c>
      <c r="F26" s="346" t="inlineStr">
        <is>
          <t>Перемычки внутренних стен D600 200 мм</t>
        </is>
      </c>
      <c r="G26" s="349" t="inlineStr">
        <is>
          <t>Корпус 5</t>
        </is>
      </c>
      <c r="H26" s="349" t="n"/>
      <c r="I26" s="349" t="n"/>
      <c r="J26" s="439" t="n"/>
      <c r="K26" s="428" t="inlineStr">
        <is>
          <t xml:space="preserve">Уголок 80х6 </t>
        </is>
      </c>
      <c r="L26" s="349" t="inlineStr">
        <is>
          <t>т</t>
        </is>
      </c>
      <c r="M26" s="442">
        <f>(97.152+36.8+2.944+20.6)/1000</f>
        <v/>
      </c>
      <c r="N26" s="442">
        <f>(97.152+36.8+2.944+20.6)/1000</f>
        <v/>
      </c>
      <c r="O26" s="440" t="n">
        <v>0</v>
      </c>
      <c r="P26" s="440" t="n">
        <v>0</v>
      </c>
      <c r="Q26" s="442">
        <f>(97.152+36.8+2.944+20.6)/1000</f>
        <v/>
      </c>
      <c r="R26" s="349" t="inlineStr">
        <is>
          <t>т</t>
        </is>
      </c>
      <c r="S26" s="349" t="n"/>
      <c r="T26" s="349" t="n"/>
      <c r="U26" s="346" t="n"/>
      <c r="V26" s="440" t="n"/>
    </row>
    <row r="27" s="1227">
      <c r="A27" s="349" t="inlineStr">
        <is>
          <t>мат.</t>
        </is>
      </c>
      <c r="B27" s="349" t="inlineStr">
        <is>
          <t>13АВ-РД-АР1.1-К5</t>
        </is>
      </c>
      <c r="C27" s="379" t="n">
        <v>45992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Перемычки внутренних стен D600 200 мм</t>
        </is>
      </c>
      <c r="G27" s="349" t="inlineStr">
        <is>
          <t>Корпус 5</t>
        </is>
      </c>
      <c r="H27" s="349" t="n"/>
      <c r="I27" s="349" t="n"/>
      <c r="J27" s="439" t="n"/>
      <c r="K27" s="441" t="inlineStr">
        <is>
          <t>Анкер-шпилька Hilti HST M10х100</t>
        </is>
      </c>
      <c r="L27" s="349" t="inlineStr">
        <is>
          <t>шт</t>
        </is>
      </c>
      <c r="M27" s="437">
        <f>(3*66)+(3*17)</f>
        <v/>
      </c>
      <c r="N27" s="442">
        <f>W27</f>
        <v/>
      </c>
      <c r="O27" s="440" t="n">
        <v>0</v>
      </c>
      <c r="P27" s="440" t="n">
        <v>0</v>
      </c>
      <c r="Q27" s="442">
        <f>N27*V27+P27</f>
        <v/>
      </c>
      <c r="R27" s="349" t="inlineStr">
        <is>
          <t>шт</t>
        </is>
      </c>
      <c r="S27" s="349" t="n"/>
      <c r="T27" s="349" t="n"/>
      <c r="U27" s="346" t="n"/>
      <c r="V27" s="440" t="n"/>
    </row>
    <row r="28" s="1227">
      <c r="A28" s="349" t="inlineStr">
        <is>
          <t>мат.</t>
        </is>
      </c>
      <c r="B28" s="349" t="inlineStr">
        <is>
          <t>13АВ-РД-АР1.1-К5</t>
        </is>
      </c>
      <c r="C28" s="379" t="n">
        <v>45992</v>
      </c>
      <c r="D28" s="349" t="inlineStr">
        <is>
          <t>Кладка</t>
        </is>
      </c>
      <c r="E28" s="349" t="n"/>
      <c r="F28" s="346" t="inlineStr">
        <is>
          <t>Перемычки внутренних стен D600 200 мм</t>
        </is>
      </c>
      <c r="G28" s="349" t="inlineStr">
        <is>
          <t>Корпус 5</t>
        </is>
      </c>
      <c r="H28" s="349" t="n"/>
      <c r="I28" s="349" t="n"/>
      <c r="J28" s="439" t="n"/>
      <c r="K28" s="428" t="inlineStr">
        <is>
          <t>Грунтовка ГФ-021</t>
        </is>
      </c>
      <c r="L28" s="349" t="inlineStr">
        <is>
          <t>м2</t>
        </is>
      </c>
      <c r="M28" s="442" t="n">
        <v>0</v>
      </c>
      <c r="N28" s="442">
        <f>W28</f>
        <v/>
      </c>
      <c r="O28" s="440" t="n">
        <v>0</v>
      </c>
      <c r="P28" s="440" t="n">
        <v>0</v>
      </c>
      <c r="Q28" s="442">
        <f>N28*V28+P28</f>
        <v/>
      </c>
      <c r="R28" s="349" t="inlineStr">
        <is>
          <t>кг</t>
        </is>
      </c>
      <c r="S28" s="349" t="n"/>
      <c r="T28" s="349" t="n"/>
      <c r="U28" s="346" t="inlineStr">
        <is>
          <t>АКЗ металла перемычек 2.1 - 2.4</t>
        </is>
      </c>
      <c r="V28" s="440" t="n">
        <v>0.2</v>
      </c>
      <c r="W28" s="0" t="n">
        <v>0</v>
      </c>
    </row>
    <row r="29" s="1227">
      <c r="A29" s="349" t="inlineStr">
        <is>
          <t>мат.</t>
        </is>
      </c>
      <c r="B29" s="349" t="inlineStr">
        <is>
          <t>13АВ-РД-АР1.1-К5</t>
        </is>
      </c>
      <c r="C29" s="379" t="n">
        <v>45992</v>
      </c>
      <c r="D29" s="349" t="inlineStr">
        <is>
          <t>Кладка</t>
        </is>
      </c>
      <c r="E29" s="349" t="n"/>
      <c r="F29" s="346" t="inlineStr">
        <is>
          <t>Перемычки внутренних стен D600 200 мм</t>
        </is>
      </c>
      <c r="G29" s="349" t="inlineStr">
        <is>
          <t>Корпус 5</t>
        </is>
      </c>
      <c r="H29" s="349" t="n"/>
      <c r="I29" s="349" t="n"/>
      <c r="J29" s="439" t="n"/>
      <c r="K29" s="428" t="inlineStr">
        <is>
          <t>Эмаль ПФ-115</t>
        </is>
      </c>
      <c r="L29" s="349" t="inlineStr">
        <is>
          <t>м2</t>
        </is>
      </c>
      <c r="M29" s="442" t="n">
        <v>0</v>
      </c>
      <c r="N29" s="442">
        <f>W29</f>
        <v/>
      </c>
      <c r="O29" s="440" t="n">
        <v>0</v>
      </c>
      <c r="P29" s="440" t="n">
        <v>0</v>
      </c>
      <c r="Q29" s="442">
        <f>N29*V29+P29</f>
        <v/>
      </c>
      <c r="R29" s="349" t="inlineStr">
        <is>
          <t>кг</t>
        </is>
      </c>
      <c r="S29" s="349" t="n"/>
      <c r="T29" s="349" t="n"/>
      <c r="U29" s="346" t="inlineStr">
        <is>
          <t>АКЗ металла перемычек 2.1 - 2.4</t>
        </is>
      </c>
      <c r="V29" s="440" t="n">
        <v>0.3</v>
      </c>
      <c r="W29" s="0" t="n">
        <v>0</v>
      </c>
    </row>
    <row r="30">
      <c r="A30" s="349" t="inlineStr">
        <is>
          <t>мат.</t>
        </is>
      </c>
      <c r="B30" s="349" t="inlineStr">
        <is>
          <t>13АВ-РД-АР1.1-К5</t>
        </is>
      </c>
      <c r="C30" s="379" t="n">
        <v>45992</v>
      </c>
      <c r="D30" s="349" t="inlineStr">
        <is>
          <t>Кладка</t>
        </is>
      </c>
      <c r="E30" s="349" t="inlineStr">
        <is>
          <t>БАЗА</t>
        </is>
      </c>
      <c r="F30" s="346" t="inlineStr">
        <is>
          <t>Внутренние стены D600 100 мм</t>
        </is>
      </c>
      <c r="G30" s="349" t="inlineStr">
        <is>
          <t>Корпус 5</t>
        </is>
      </c>
      <c r="H30" s="349" t="n"/>
      <c r="I30" s="349" t="inlineStr">
        <is>
          <t>м2</t>
        </is>
      </c>
      <c r="J30" s="427">
        <f>IF(AND(E30="БАЗА",I30=L30),N30,IF(E30&lt;&gt;"БАЗА","0",IF(I30&lt;&gt;L30,"Пересчет")))</f>
        <v/>
      </c>
      <c r="K30" s="428" t="inlineStr">
        <is>
          <t>Газобетонный блок, толщиной 100мм, D600</t>
        </is>
      </c>
      <c r="L30" s="349" t="inlineStr">
        <is>
          <t>м2</t>
        </is>
      </c>
      <c r="M30" s="442" t="n">
        <v>284.4</v>
      </c>
      <c r="N30" s="442">
        <f>W30</f>
        <v/>
      </c>
      <c r="O30" s="440" t="n">
        <v>0</v>
      </c>
      <c r="P30" s="440" t="n">
        <v>0</v>
      </c>
      <c r="Q30" s="442">
        <f>N30*V30+P30</f>
        <v/>
      </c>
      <c r="R30" s="349" t="inlineStr">
        <is>
          <t>м2</t>
        </is>
      </c>
      <c r="S30" s="349" t="n"/>
      <c r="T30" s="349" t="n"/>
      <c r="U30" s="346" t="inlineStr">
        <is>
          <t>СВ-1.4</t>
        </is>
      </c>
      <c r="V30" s="349" t="n">
        <v>1</v>
      </c>
      <c r="W30" s="0" t="n">
        <v>0</v>
      </c>
    </row>
    <row r="31">
      <c r="A31" s="440" t="inlineStr">
        <is>
          <t>мат.</t>
        </is>
      </c>
      <c r="B31" s="440" t="inlineStr">
        <is>
          <t>13АВ-РД-АР1.1-К5</t>
        </is>
      </c>
      <c r="C31" s="379" t="n">
        <v>45992</v>
      </c>
      <c r="D31" s="440" t="inlineStr">
        <is>
          <t>Кладка</t>
        </is>
      </c>
      <c r="E31" s="446" t="n"/>
      <c r="F31" s="444" t="inlineStr">
        <is>
          <t>Внутренние стены D600 100 мм</t>
        </is>
      </c>
      <c r="G31" s="440" t="inlineStr">
        <is>
          <t>Корпус 5</t>
        </is>
      </c>
      <c r="H31" s="446" t="n"/>
      <c r="I31" s="446" t="n"/>
      <c r="J31" s="446" t="n"/>
      <c r="K31" s="447" t="inlineStr">
        <is>
          <t>Базальтовая сетка для армирования кладки</t>
        </is>
      </c>
      <c r="L31" s="440" t="inlineStr">
        <is>
          <t>м2</t>
        </is>
      </c>
      <c r="M31" s="442" t="n">
        <v>0</v>
      </c>
      <c r="N31" s="442">
        <f>W31</f>
        <v/>
      </c>
      <c r="O31" s="440" t="n">
        <v>0</v>
      </c>
      <c r="P31" s="440" t="n">
        <v>0</v>
      </c>
      <c r="Q31" s="442">
        <f>N31*V31+P31</f>
        <v/>
      </c>
      <c r="R31" s="440" t="inlineStr">
        <is>
          <t>м2</t>
        </is>
      </c>
      <c r="S31" s="446" t="n"/>
      <c r="T31" s="446" t="n"/>
      <c r="U31" s="444" t="inlineStr">
        <is>
          <t>Армирование кладки СВ1.4 через каждые 3 ряда</t>
        </is>
      </c>
      <c r="V31" s="440" t="n">
        <v>1</v>
      </c>
      <c r="W31" s="0" t="n">
        <v>0</v>
      </c>
    </row>
    <row r="32">
      <c r="A32" s="440" t="inlineStr">
        <is>
          <t>мат.</t>
        </is>
      </c>
      <c r="B32" s="440" t="inlineStr">
        <is>
          <t>13АВ-РД-АР1.1-К5</t>
        </is>
      </c>
      <c r="C32" s="379" t="n">
        <v>45992</v>
      </c>
      <c r="D32" s="440" t="inlineStr">
        <is>
          <t>Кладка</t>
        </is>
      </c>
      <c r="E32" s="446" t="n"/>
      <c r="F32" s="444" t="inlineStr">
        <is>
          <t>Внутренние стены D600 100 мм</t>
        </is>
      </c>
      <c r="G32" s="440" t="inlineStr">
        <is>
          <t>Корпус 5</t>
        </is>
      </c>
      <c r="H32" s="446" t="n"/>
      <c r="I32" s="446" t="n"/>
      <c r="J32" s="446" t="n"/>
      <c r="K32" s="447" t="inlineStr">
        <is>
          <t>Цементно-песчаный раствор М100</t>
        </is>
      </c>
      <c r="L32" s="440" t="inlineStr">
        <is>
          <t>м3</t>
        </is>
      </c>
      <c r="M32" s="442" t="n">
        <v>0</v>
      </c>
      <c r="N32" s="442">
        <f>W32</f>
        <v/>
      </c>
      <c r="O32" s="440" t="n">
        <v>0</v>
      </c>
      <c r="P32" s="440" t="n">
        <v>0</v>
      </c>
      <c r="Q32" s="442">
        <f>N32*V32+P32</f>
        <v/>
      </c>
      <c r="R32" s="440" t="inlineStr">
        <is>
          <t>м3</t>
        </is>
      </c>
      <c r="S32" s="446" t="n"/>
      <c r="T32" s="446" t="n"/>
      <c r="U32" s="444" t="inlineStr">
        <is>
          <t>Подушка под стену СВ-1.4
Узел Б2</t>
        </is>
      </c>
      <c r="V32" s="440" t="n">
        <v>1</v>
      </c>
      <c r="W32" s="0" t="n">
        <v>0</v>
      </c>
    </row>
    <row r="33">
      <c r="A33" s="446" t="n"/>
      <c r="B33" s="440" t="inlineStr">
        <is>
          <t>13АВ-РД-АР1.1-К5</t>
        </is>
      </c>
      <c r="C33" s="379" t="n">
        <v>45992</v>
      </c>
      <c r="D33" s="440" t="inlineStr">
        <is>
          <t>Кладка</t>
        </is>
      </c>
      <c r="E33" s="446" t="n"/>
      <c r="F33" s="444" t="inlineStr">
        <is>
          <t>Внутренние стены D600 100 мм</t>
        </is>
      </c>
      <c r="G33" s="440" t="inlineStr">
        <is>
          <t>Корпус 5</t>
        </is>
      </c>
      <c r="H33" s="446" t="n"/>
      <c r="I33" s="446" t="n"/>
      <c r="J33" s="446" t="n"/>
      <c r="K33" s="447" t="inlineStr">
        <is>
          <t>Примыкание к плите перекрытия</t>
        </is>
      </c>
      <c r="L33" s="440" t="inlineStr">
        <is>
          <t>м.п.</t>
        </is>
      </c>
      <c r="M33" s="442" t="n">
        <v>0</v>
      </c>
      <c r="N33" s="442" t="n">
        <v>69.724845</v>
      </c>
      <c r="O33" s="440" t="n">
        <v>0</v>
      </c>
      <c r="P33" s="440" t="n">
        <v>0</v>
      </c>
      <c r="Q33" s="442">
        <f>N33*V33+P33</f>
        <v/>
      </c>
      <c r="R33" s="440" t="inlineStr">
        <is>
          <t>м.п.</t>
        </is>
      </c>
      <c r="S33" s="446" t="n"/>
      <c r="T33" s="446" t="n"/>
      <c r="U33" s="444" t="inlineStr">
        <is>
          <t>Верхнее крепление газобетонных блоков СВ-1.4 к перекрытию (узел Б1)</t>
        </is>
      </c>
      <c r="V33" s="440" t="n">
        <v>1</v>
      </c>
      <c r="W33" s="0" t="n">
        <v>0</v>
      </c>
    </row>
    <row r="34">
      <c r="A34" s="440" t="inlineStr">
        <is>
          <t>мат.</t>
        </is>
      </c>
      <c r="B34" s="440" t="inlineStr">
        <is>
          <t>13АВ-РД-АР1.1-К5</t>
        </is>
      </c>
      <c r="C34" s="379" t="n">
        <v>45992</v>
      </c>
      <c r="D34" s="440" t="inlineStr">
        <is>
          <t>Кладка</t>
        </is>
      </c>
      <c r="E34" s="446" t="n"/>
      <c r="F34" s="444" t="inlineStr">
        <is>
          <t>Внутренние стены D600 100 мм</t>
        </is>
      </c>
      <c r="G34" s="440" t="inlineStr">
        <is>
          <t>Корпус 5</t>
        </is>
      </c>
      <c r="H34" s="446" t="n"/>
      <c r="I34" s="446" t="n"/>
      <c r="J34" s="446" t="n"/>
      <c r="K34" s="447" t="inlineStr">
        <is>
          <t>Перфорированная оцинкованная полоса 0,75х20 мм</t>
        </is>
      </c>
      <c r="L34" s="440" t="inlineStr">
        <is>
          <t>м.п.</t>
        </is>
      </c>
      <c r="M34" s="442" t="n">
        <v>0</v>
      </c>
      <c r="N34" s="442">
        <f>W34</f>
        <v/>
      </c>
      <c r="O34" s="440" t="n">
        <v>0</v>
      </c>
      <c r="P34" s="440" t="n">
        <v>0</v>
      </c>
      <c r="Q34" s="442">
        <f>N34*V34+P34</f>
        <v/>
      </c>
      <c r="R34" s="440" t="inlineStr">
        <is>
          <t>м.п.</t>
        </is>
      </c>
      <c r="S34" s="446" t="n"/>
      <c r="T34" s="446" t="n"/>
      <c r="U34" s="446" t="n"/>
      <c r="V34" s="440" t="n">
        <v>1</v>
      </c>
      <c r="W34" s="0" t="n">
        <v>0</v>
      </c>
    </row>
    <row r="35">
      <c r="A35" s="440" t="inlineStr">
        <is>
          <t>мат.</t>
        </is>
      </c>
      <c r="B35" s="440" t="inlineStr">
        <is>
          <t>13АВ-РД-АР1.1-К5</t>
        </is>
      </c>
      <c r="C35" s="379" t="n">
        <v>45992</v>
      </c>
      <c r="D35" s="440" t="inlineStr">
        <is>
          <t>Кладка</t>
        </is>
      </c>
      <c r="E35" s="446" t="n"/>
      <c r="F35" s="444" t="inlineStr">
        <is>
          <t>Внутренние стены D600 100 мм</t>
        </is>
      </c>
      <c r="G35" s="440" t="inlineStr">
        <is>
          <t>Корпус 5</t>
        </is>
      </c>
      <c r="H35" s="446" t="n"/>
      <c r="I35" s="446" t="n"/>
      <c r="J35" s="446" t="n"/>
      <c r="K35" s="447" t="inlineStr">
        <is>
          <t>Минераловатные плиты средней жесткости р=37-45 кг/м³, λ=0,039 Вт/м°С</t>
        </is>
      </c>
      <c r="L35" s="440" t="inlineStr">
        <is>
          <t>м3</t>
        </is>
      </c>
      <c r="M35" s="442" t="n">
        <v>0</v>
      </c>
      <c r="N35" s="442">
        <f>W35</f>
        <v/>
      </c>
      <c r="O35" s="440" t="n">
        <v>0</v>
      </c>
      <c r="P35" s="440" t="n">
        <v>0</v>
      </c>
      <c r="Q35" s="442">
        <f>N35*V35+P35</f>
        <v/>
      </c>
      <c r="R35" s="440" t="inlineStr">
        <is>
          <t>м3</t>
        </is>
      </c>
      <c r="S35" s="446" t="n"/>
      <c r="T35" s="446" t="n"/>
      <c r="U35" s="446" t="n"/>
      <c r="V35" s="440" t="n">
        <v>1</v>
      </c>
      <c r="W35" s="0" t="n">
        <v>0</v>
      </c>
    </row>
    <row r="36">
      <c r="A36" s="440" t="inlineStr">
        <is>
          <t>мат.</t>
        </is>
      </c>
      <c r="B36" s="440" t="inlineStr">
        <is>
          <t>13АВ-РД-АР1.1-К5</t>
        </is>
      </c>
      <c r="C36" s="379" t="n">
        <v>45992</v>
      </c>
      <c r="D36" s="440" t="inlineStr">
        <is>
          <t>Кладка</t>
        </is>
      </c>
      <c r="E36" s="446" t="n"/>
      <c r="F36" s="444" t="inlineStr">
        <is>
          <t>Внутренние стены D600 100 мм</t>
        </is>
      </c>
      <c r="G36" s="440" t="inlineStr">
        <is>
          <t>Корпус 5</t>
        </is>
      </c>
      <c r="H36" s="446" t="n"/>
      <c r="I36" s="446" t="n"/>
      <c r="J36" s="446" t="n"/>
      <c r="K36" s="447" t="inlineStr">
        <is>
          <t>Цементно-песчаный раствор М100</t>
        </is>
      </c>
      <c r="L36" s="440" t="inlineStr">
        <is>
          <t>м3</t>
        </is>
      </c>
      <c r="M36" s="442" t="n">
        <v>0</v>
      </c>
      <c r="N36" s="442">
        <f>W36</f>
        <v/>
      </c>
      <c r="O36" s="440" t="n">
        <v>0</v>
      </c>
      <c r="P36" s="440" t="n">
        <v>0</v>
      </c>
      <c r="Q36" s="442">
        <f>N36*V36+P36</f>
        <v/>
      </c>
      <c r="R36" s="440" t="inlineStr">
        <is>
          <t>м3</t>
        </is>
      </c>
      <c r="S36" s="446" t="n"/>
      <c r="T36" s="446" t="n"/>
      <c r="U36" s="444" t="inlineStr">
        <is>
          <t>Узел Б1 верхнее примыкание 
стены к плите перекрытия</t>
        </is>
      </c>
      <c r="V36" s="440" t="n">
        <v>1</v>
      </c>
      <c r="W36" s="0" t="n">
        <v>0</v>
      </c>
    </row>
    <row r="37">
      <c r="A37" s="440" t="inlineStr">
        <is>
          <t>мат.</t>
        </is>
      </c>
      <c r="B37" s="440" t="inlineStr">
        <is>
          <t>13АВ-РД-АР1.1-К5</t>
        </is>
      </c>
      <c r="C37" s="379" t="n">
        <v>45992</v>
      </c>
      <c r="D37" s="440" t="inlineStr">
        <is>
          <t>Кладка</t>
        </is>
      </c>
      <c r="E37" s="446" t="n"/>
      <c r="F37" s="444" t="inlineStr">
        <is>
          <t>Внутренние стены D600 100 мм</t>
        </is>
      </c>
      <c r="G37" s="440" t="inlineStr">
        <is>
          <t>Корпус 5</t>
        </is>
      </c>
      <c r="H37" s="446" t="n"/>
      <c r="I37" s="446" t="n"/>
      <c r="J37" s="446" t="n"/>
      <c r="K37" s="447" t="inlineStr">
        <is>
          <t>Дюбель гвоздь 6х40</t>
        </is>
      </c>
      <c r="L37" s="440" t="inlineStr">
        <is>
          <t>шт</t>
        </is>
      </c>
      <c r="M37" s="442" t="n">
        <v>0</v>
      </c>
      <c r="N37" s="442">
        <f>W37</f>
        <v/>
      </c>
      <c r="O37" s="440" t="n">
        <v>0</v>
      </c>
      <c r="P37" s="440" t="n">
        <v>0</v>
      </c>
      <c r="Q37" s="442">
        <f>N37*V37+P37</f>
        <v/>
      </c>
      <c r="R37" s="440" t="inlineStr">
        <is>
          <t>шт</t>
        </is>
      </c>
      <c r="S37" s="446" t="n"/>
      <c r="T37" s="446" t="n"/>
      <c r="U37" s="446" t="n"/>
      <c r="V37" s="440" t="n">
        <v>1</v>
      </c>
      <c r="W37" s="0" t="n">
        <v>0</v>
      </c>
    </row>
    <row r="38">
      <c r="A38" s="446" t="n"/>
      <c r="B38" s="440" t="inlineStr">
        <is>
          <t>13АВ-РД-АР1.1-К5</t>
        </is>
      </c>
      <c r="C38" s="379" t="n">
        <v>45992</v>
      </c>
      <c r="D38" s="440" t="inlineStr">
        <is>
          <t>Кладка</t>
        </is>
      </c>
      <c r="E38" s="446" t="n"/>
      <c r="F38" s="444" t="inlineStr">
        <is>
          <t>Внутренние стены D600 100 мм</t>
        </is>
      </c>
      <c r="G38" s="440" t="inlineStr">
        <is>
          <t>Корпус 5</t>
        </is>
      </c>
      <c r="H38" s="446" t="n"/>
      <c r="I38" s="446" t="n"/>
      <c r="J38" s="446" t="n"/>
      <c r="K38" s="447" t="inlineStr">
        <is>
          <t>Крепление газобетонных блоков к жб стенам</t>
        </is>
      </c>
      <c r="L38" s="440" t="inlineStr">
        <is>
          <t>м.п.</t>
        </is>
      </c>
      <c r="M38" s="442" t="n">
        <v>0</v>
      </c>
      <c r="N38" s="442">
        <f>W38</f>
        <v/>
      </c>
      <c r="O38" s="440" t="n">
        <v>0</v>
      </c>
      <c r="P38" s="440" t="n">
        <v>0</v>
      </c>
      <c r="Q38" s="442">
        <f>N38*V38+P38</f>
        <v/>
      </c>
      <c r="R38" s="440" t="inlineStr">
        <is>
          <t>м.п.</t>
        </is>
      </c>
      <c r="S38" s="446" t="n"/>
      <c r="T38" s="446" t="n"/>
      <c r="U38" s="444" t="inlineStr">
        <is>
          <t>СВ-1.4 Узел В</t>
        </is>
      </c>
      <c r="V38" s="440" t="n">
        <v>1</v>
      </c>
      <c r="W38" s="0" t="n">
        <v>0</v>
      </c>
    </row>
    <row r="39">
      <c r="A39" s="440" t="inlineStr">
        <is>
          <t>мат.</t>
        </is>
      </c>
      <c r="B39" s="440" t="inlineStr">
        <is>
          <t>13АВ-РД-АР1.1-К5</t>
        </is>
      </c>
      <c r="C39" s="379" t="n">
        <v>45992</v>
      </c>
      <c r="D39" s="440" t="inlineStr">
        <is>
          <t>Кладка</t>
        </is>
      </c>
      <c r="E39" s="446" t="n"/>
      <c r="F39" s="444" t="inlineStr">
        <is>
          <t>Внутренние стены D600 100 мм</t>
        </is>
      </c>
      <c r="G39" s="440" t="inlineStr">
        <is>
          <t>Корпус 5</t>
        </is>
      </c>
      <c r="H39" s="446" t="n"/>
      <c r="I39" s="446" t="n"/>
      <c r="J39" s="446" t="n"/>
      <c r="K39" s="447" t="inlineStr">
        <is>
          <t>Цементно-песчаный раствор М100</t>
        </is>
      </c>
      <c r="L39" s="440" t="inlineStr">
        <is>
          <t>м3</t>
        </is>
      </c>
      <c r="M39" s="442" t="n">
        <v>0</v>
      </c>
      <c r="N39" s="442">
        <f>W39</f>
        <v/>
      </c>
      <c r="O39" s="440" t="n">
        <v>0</v>
      </c>
      <c r="P39" s="440" t="n">
        <v>0</v>
      </c>
      <c r="Q39" s="442">
        <f>N39*V39+P39</f>
        <v/>
      </c>
      <c r="R39" s="440" t="inlineStr">
        <is>
          <t>м3</t>
        </is>
      </c>
      <c r="S39" s="446" t="n"/>
      <c r="T39" s="446" t="n"/>
      <c r="U39" s="446" t="n"/>
      <c r="V39" s="440" t="n">
        <v>1</v>
      </c>
      <c r="W39" s="0" t="n">
        <v>0</v>
      </c>
    </row>
    <row r="40">
      <c r="A40" s="440" t="inlineStr">
        <is>
          <t>мат.</t>
        </is>
      </c>
      <c r="B40" s="440" t="inlineStr">
        <is>
          <t>13АВ-РД-АР1.1-К5</t>
        </is>
      </c>
      <c r="C40" s="379" t="n">
        <v>45992</v>
      </c>
      <c r="D40" s="440" t="inlineStr">
        <is>
          <t>Кладка</t>
        </is>
      </c>
      <c r="E40" s="446" t="n"/>
      <c r="F40" s="444" t="inlineStr">
        <is>
          <t>Внутренние стены D600 100 мм</t>
        </is>
      </c>
      <c r="G40" s="440" t="inlineStr">
        <is>
          <t>Корпус 5</t>
        </is>
      </c>
      <c r="H40" s="446" t="n"/>
      <c r="I40" s="446" t="n"/>
      <c r="J40" s="446" t="n"/>
      <c r="K40" s="447" t="inlineStr">
        <is>
          <t>Скоба С1</t>
        </is>
      </c>
      <c r="L40" s="440" t="inlineStr">
        <is>
          <t>шт</t>
        </is>
      </c>
      <c r="M40" s="442" t="n">
        <v>0</v>
      </c>
      <c r="N40" s="442">
        <f>W40</f>
        <v/>
      </c>
      <c r="O40" s="440" t="n">
        <v>0</v>
      </c>
      <c r="P40" s="440" t="n">
        <v>0</v>
      </c>
      <c r="Q40" s="442">
        <f>N40*V40+P40</f>
        <v/>
      </c>
      <c r="R40" s="440" t="inlineStr">
        <is>
          <t>шт</t>
        </is>
      </c>
      <c r="S40" s="446" t="n"/>
      <c r="T40" s="446" t="n"/>
      <c r="U40" s="446" t="n"/>
      <c r="V40" s="440" t="n">
        <v>1</v>
      </c>
      <c r="W40" s="0" t="n">
        <v>0</v>
      </c>
    </row>
    <row r="41">
      <c r="A41" s="440" t="inlineStr">
        <is>
          <t>мат.</t>
        </is>
      </c>
      <c r="B41" s="440" t="inlineStr">
        <is>
          <t>13АВ-РД-АР1.1-К5</t>
        </is>
      </c>
      <c r="C41" s="379" t="n">
        <v>45992</v>
      </c>
      <c r="D41" s="440" t="inlineStr">
        <is>
          <t>Кладка</t>
        </is>
      </c>
      <c r="E41" s="446" t="n"/>
      <c r="F41" s="444" t="inlineStr">
        <is>
          <t>Внутренние стены D600 100 мм</t>
        </is>
      </c>
      <c r="G41" s="440" t="inlineStr">
        <is>
          <t>Корпус 5</t>
        </is>
      </c>
      <c r="H41" s="446" t="n"/>
      <c r="I41" s="446" t="n"/>
      <c r="J41" s="446" t="n"/>
      <c r="K41" s="447" t="inlineStr">
        <is>
          <t>Дюбель гвоздь 5х50</t>
        </is>
      </c>
      <c r="L41" s="440" t="inlineStr">
        <is>
          <t>шт</t>
        </is>
      </c>
      <c r="M41" s="442" t="n">
        <v>0</v>
      </c>
      <c r="N41" s="442">
        <f>W41</f>
        <v/>
      </c>
      <c r="O41" s="440" t="n">
        <v>0</v>
      </c>
      <c r="P41" s="440" t="n">
        <v>0</v>
      </c>
      <c r="Q41" s="442">
        <f>N41*V41+P41</f>
        <v/>
      </c>
      <c r="R41" s="440" t="inlineStr">
        <is>
          <t>шт</t>
        </is>
      </c>
      <c r="S41" s="446" t="n"/>
      <c r="T41" s="446" t="n"/>
      <c r="U41" s="446" t="n"/>
      <c r="V41" s="440" t="n">
        <v>1</v>
      </c>
      <c r="W41" s="0" t="n">
        <v>0</v>
      </c>
    </row>
    <row r="42">
      <c r="A42" s="440" t="inlineStr">
        <is>
          <t>мат.</t>
        </is>
      </c>
      <c r="B42" s="440" t="inlineStr">
        <is>
          <t>13АВ-РД-АР1.1-К5</t>
        </is>
      </c>
      <c r="C42" s="379" t="n">
        <v>45992</v>
      </c>
      <c r="D42" s="440" t="inlineStr">
        <is>
          <t>Кладка</t>
        </is>
      </c>
      <c r="E42" s="446" t="n"/>
      <c r="F42" s="444" t="inlineStr">
        <is>
          <t>Внутренние стены D600 100 мм</t>
        </is>
      </c>
      <c r="G42" s="440" t="inlineStr">
        <is>
          <t>Корпус 5</t>
        </is>
      </c>
      <c r="H42" s="446" t="n"/>
      <c r="I42" s="446" t="n"/>
      <c r="J42" s="446" t="n"/>
      <c r="K42" s="447" t="inlineStr">
        <is>
          <t>Дюбель гвоздь 5х100</t>
        </is>
      </c>
      <c r="L42" s="440" t="inlineStr">
        <is>
          <t>шт</t>
        </is>
      </c>
      <c r="M42" s="442" t="n">
        <v>0</v>
      </c>
      <c r="N42" s="442">
        <f>W42</f>
        <v/>
      </c>
      <c r="O42" s="440" t="n">
        <v>0</v>
      </c>
      <c r="P42" s="440" t="n">
        <v>0</v>
      </c>
      <c r="Q42" s="442">
        <f>N42*V42+P42</f>
        <v/>
      </c>
      <c r="R42" s="440" t="inlineStr">
        <is>
          <t>шт</t>
        </is>
      </c>
      <c r="S42" s="446" t="n"/>
      <c r="T42" s="446" t="n"/>
      <c r="U42" s="446" t="n"/>
      <c r="V42" s="440" t="n">
        <v>1</v>
      </c>
      <c r="W42" s="0" t="n">
        <v>0</v>
      </c>
    </row>
    <row r="43" ht="27.75" customHeight="1" s="1227">
      <c r="A43" s="349" t="inlineStr">
        <is>
          <t>мат.</t>
        </is>
      </c>
      <c r="B43" s="349" t="inlineStr">
        <is>
          <t>13АВ-РД-АР1.1-К5</t>
        </is>
      </c>
      <c r="C43" s="379" t="n">
        <v>45992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Стены шахты D600 100 мм</t>
        </is>
      </c>
      <c r="G43" s="349" t="inlineStr">
        <is>
          <t>Корпус 5</t>
        </is>
      </c>
      <c r="H43" s="349" t="n"/>
      <c r="I43" s="349" t="inlineStr">
        <is>
          <t>м2</t>
        </is>
      </c>
      <c r="J43" s="427" t="n"/>
      <c r="K43" s="428" t="inlineStr">
        <is>
          <t xml:space="preserve">Газобетонный блок, толщиной 100мм, D600 </t>
        </is>
      </c>
      <c r="L43" s="349" t="inlineStr">
        <is>
          <t>м2</t>
        </is>
      </c>
      <c r="M43" s="429" t="n">
        <v>136.9</v>
      </c>
      <c r="N43" s="429">
        <f>W43</f>
        <v/>
      </c>
      <c r="O43" s="349" t="n">
        <v>0</v>
      </c>
      <c r="P43" s="349" t="n">
        <v>0</v>
      </c>
      <c r="Q43" s="429">
        <f>N43*V43+P43</f>
        <v/>
      </c>
      <c r="R43" s="349" t="inlineStr">
        <is>
          <t>м2</t>
        </is>
      </c>
      <c r="S43" s="349" t="n"/>
      <c r="T43" s="349" t="n"/>
      <c r="U43" s="346" t="inlineStr">
        <is>
          <t>СВ-1.4</t>
        </is>
      </c>
      <c r="V43" s="349" t="n">
        <v>1</v>
      </c>
      <c r="W43" s="0" t="n">
        <v>0</v>
      </c>
    </row>
    <row r="44" s="1227">
      <c r="A44" s="440" t="inlineStr">
        <is>
          <t>мат.</t>
        </is>
      </c>
      <c r="B44" s="440" t="inlineStr">
        <is>
          <t>13АВ-РД-АР1.1-К5</t>
        </is>
      </c>
      <c r="C44" s="379" t="n">
        <v>45992</v>
      </c>
      <c r="D44" s="440" t="inlineStr">
        <is>
          <t>Кладка</t>
        </is>
      </c>
      <c r="E44" s="446" t="n"/>
      <c r="F44" s="444" t="inlineStr">
        <is>
          <t>Стены шахты D600 100 мм</t>
        </is>
      </c>
      <c r="G44" s="440" t="inlineStr">
        <is>
          <t>Корпус 5</t>
        </is>
      </c>
      <c r="H44" s="446" t="n"/>
      <c r="I44" s="446" t="n"/>
      <c r="J44" s="446" t="n"/>
      <c r="K44" s="447" t="inlineStr">
        <is>
          <t>Базальтовая сетка для армирования кладки</t>
        </is>
      </c>
      <c r="L44" s="440" t="inlineStr">
        <is>
          <t>м2</t>
        </is>
      </c>
      <c r="M44" s="442" t="n">
        <v>0</v>
      </c>
      <c r="N44" s="442">
        <f>W44</f>
        <v/>
      </c>
      <c r="O44" s="440" t="n">
        <v>0</v>
      </c>
      <c r="P44" s="440" t="n">
        <v>0</v>
      </c>
      <c r="Q44" s="442">
        <f>N44*V44+P44</f>
        <v/>
      </c>
      <c r="R44" s="440" t="inlineStr">
        <is>
          <t>м2</t>
        </is>
      </c>
      <c r="S44" s="446" t="n"/>
      <c r="T44" s="446" t="n"/>
      <c r="U44" s="444" t="inlineStr">
        <is>
          <t>Армирование кладки СВ1.4 через каждые 3 ряда</t>
        </is>
      </c>
      <c r="V44" s="440" t="n">
        <v>1</v>
      </c>
      <c r="W44" s="0" t="n">
        <v>0</v>
      </c>
    </row>
    <row r="45" s="1227">
      <c r="A45" s="440" t="inlineStr">
        <is>
          <t>мат.</t>
        </is>
      </c>
      <c r="B45" s="440" t="inlineStr">
        <is>
          <t>13АВ-РД-АР1.1-К5</t>
        </is>
      </c>
      <c r="C45" s="379" t="n">
        <v>45992</v>
      </c>
      <c r="D45" s="440" t="inlineStr">
        <is>
          <t>Кладка</t>
        </is>
      </c>
      <c r="E45" s="446" t="n"/>
      <c r="F45" s="444" t="inlineStr">
        <is>
          <t>Стены шахты D600 100 мм</t>
        </is>
      </c>
      <c r="G45" s="440" t="inlineStr">
        <is>
          <t>Корпус 5</t>
        </is>
      </c>
      <c r="H45" s="446" t="n"/>
      <c r="I45" s="446" t="n"/>
      <c r="J45" s="446" t="n"/>
      <c r="K45" s="447" t="inlineStr">
        <is>
          <t>Цементно-песчаный раствор М100</t>
        </is>
      </c>
      <c r="L45" s="440" t="inlineStr">
        <is>
          <t>м3</t>
        </is>
      </c>
      <c r="M45" s="442" t="n">
        <v>0</v>
      </c>
      <c r="N45" s="442">
        <f>W45</f>
        <v/>
      </c>
      <c r="O45" s="440" t="n">
        <v>0</v>
      </c>
      <c r="P45" s="440" t="n">
        <v>0</v>
      </c>
      <c r="Q45" s="442">
        <f>N45*V45+P45</f>
        <v/>
      </c>
      <c r="R45" s="440" t="inlineStr">
        <is>
          <t>м3</t>
        </is>
      </c>
      <c r="S45" s="446" t="n"/>
      <c r="T45" s="446" t="n"/>
      <c r="U45" s="444" t="inlineStr">
        <is>
          <t>Подушка под стену СВ-1.4
Узел Б2</t>
        </is>
      </c>
      <c r="V45" s="440" t="n">
        <v>1</v>
      </c>
      <c r="W45" s="0" t="n">
        <v>0</v>
      </c>
    </row>
    <row r="46" s="1227">
      <c r="A46" s="446" t="n"/>
      <c r="B46" s="440" t="inlineStr">
        <is>
          <t>13АВ-РД-АР1.1-К5</t>
        </is>
      </c>
      <c r="C46" s="379" t="n">
        <v>45992</v>
      </c>
      <c r="D46" s="440" t="inlineStr">
        <is>
          <t>Кладка</t>
        </is>
      </c>
      <c r="E46" s="446" t="n"/>
      <c r="F46" s="444" t="inlineStr">
        <is>
          <t>Стены шахты D600 100 мм</t>
        </is>
      </c>
      <c r="G46" s="440" t="inlineStr">
        <is>
          <t>Корпус 5</t>
        </is>
      </c>
      <c r="H46" s="446" t="n"/>
      <c r="I46" s="446" t="n"/>
      <c r="J46" s="446" t="n"/>
      <c r="K46" s="447" t="inlineStr">
        <is>
          <t>Примыкание к плите перекрытия</t>
        </is>
      </c>
      <c r="L46" s="440" t="inlineStr">
        <is>
          <t>м.п.</t>
        </is>
      </c>
      <c r="M46" s="442">
        <f>N46</f>
        <v/>
      </c>
      <c r="N46" s="442">
        <f>W46</f>
        <v/>
      </c>
      <c r="O46" s="440" t="n">
        <v>0</v>
      </c>
      <c r="P46" s="440" t="n">
        <v>0</v>
      </c>
      <c r="Q46" s="442">
        <f>N46*V46+P46</f>
        <v/>
      </c>
      <c r="R46" s="440" t="inlineStr">
        <is>
          <t>м.п.</t>
        </is>
      </c>
      <c r="S46" s="446" t="n"/>
      <c r="T46" s="446" t="n"/>
      <c r="U46" s="444" t="inlineStr">
        <is>
          <t>Верхнее крепление газобетонных блоков СВ-1.4 к перекрытию (узел Б1)</t>
        </is>
      </c>
      <c r="V46" s="440" t="n">
        <v>1</v>
      </c>
      <c r="W46" s="0" t="n">
        <v>0</v>
      </c>
    </row>
    <row r="47" s="1227">
      <c r="A47" s="440" t="inlineStr">
        <is>
          <t>мат.</t>
        </is>
      </c>
      <c r="B47" s="440" t="inlineStr">
        <is>
          <t>13АВ-РД-АР1.1-К5</t>
        </is>
      </c>
      <c r="C47" s="379" t="n">
        <v>45992</v>
      </c>
      <c r="D47" s="440" t="inlineStr">
        <is>
          <t>Кладка</t>
        </is>
      </c>
      <c r="E47" s="446" t="n"/>
      <c r="F47" s="444" t="inlineStr">
        <is>
          <t>Стены шахты D600 100 мм</t>
        </is>
      </c>
      <c r="G47" s="440" t="inlineStr">
        <is>
          <t>Корпус 5</t>
        </is>
      </c>
      <c r="H47" s="446" t="n"/>
      <c r="I47" s="446" t="n"/>
      <c r="J47" s="446" t="n"/>
      <c r="K47" s="447" t="inlineStr">
        <is>
          <t>Перфорированная оцинкованная полоса 0,75х20 мм</t>
        </is>
      </c>
      <c r="L47" s="440" t="inlineStr">
        <is>
          <t>м.п.</t>
        </is>
      </c>
      <c r="M47" s="442" t="n">
        <v>0</v>
      </c>
      <c r="N47" s="442">
        <f>W47</f>
        <v/>
      </c>
      <c r="O47" s="440" t="n">
        <v>0</v>
      </c>
      <c r="P47" s="440" t="n">
        <v>0</v>
      </c>
      <c r="Q47" s="442">
        <f>N47*V47+P47</f>
        <v/>
      </c>
      <c r="R47" s="440" t="inlineStr">
        <is>
          <t>м.п.</t>
        </is>
      </c>
      <c r="S47" s="446" t="n"/>
      <c r="T47" s="446" t="n"/>
      <c r="U47" s="446" t="n"/>
      <c r="V47" s="440" t="n">
        <v>1</v>
      </c>
      <c r="W47" s="0" t="n">
        <v>0</v>
      </c>
    </row>
    <row r="48" s="1227">
      <c r="A48" s="440" t="inlineStr">
        <is>
          <t>мат.</t>
        </is>
      </c>
      <c r="B48" s="440" t="inlineStr">
        <is>
          <t>13АВ-РД-АР1.1-К5</t>
        </is>
      </c>
      <c r="C48" s="379" t="n">
        <v>45992</v>
      </c>
      <c r="D48" s="440" t="inlineStr">
        <is>
          <t>Кладка</t>
        </is>
      </c>
      <c r="E48" s="446" t="n"/>
      <c r="F48" s="444" t="inlineStr">
        <is>
          <t>Стены шахты D600 100 мм</t>
        </is>
      </c>
      <c r="G48" s="440" t="inlineStr">
        <is>
          <t>Корпус 5</t>
        </is>
      </c>
      <c r="H48" s="446" t="n"/>
      <c r="I48" s="446" t="n"/>
      <c r="J48" s="446" t="n"/>
      <c r="K48" s="447" t="inlineStr">
        <is>
          <t>Минераловатные плиты средней жесткости р=37-45 кг/м³, λ=0,039 Вт/м°С</t>
        </is>
      </c>
      <c r="L48" s="440" t="inlineStr">
        <is>
          <t>м3</t>
        </is>
      </c>
      <c r="M48" s="442" t="n">
        <v>0</v>
      </c>
      <c r="N48" s="442">
        <f>W48</f>
        <v/>
      </c>
      <c r="O48" s="440" t="n">
        <v>0</v>
      </c>
      <c r="P48" s="440" t="n">
        <v>0</v>
      </c>
      <c r="Q48" s="442">
        <f>N48*V48+P48</f>
        <v/>
      </c>
      <c r="R48" s="440" t="inlineStr">
        <is>
          <t>м3</t>
        </is>
      </c>
      <c r="S48" s="446" t="n"/>
      <c r="T48" s="446" t="n"/>
      <c r="U48" s="446" t="n"/>
      <c r="V48" s="440" t="n">
        <v>1</v>
      </c>
      <c r="W48" s="0" t="n">
        <v>0</v>
      </c>
    </row>
    <row r="49" s="1227">
      <c r="A49" s="440" t="inlineStr">
        <is>
          <t>мат.</t>
        </is>
      </c>
      <c r="B49" s="440" t="inlineStr">
        <is>
          <t>13АВ-РД-АР1.1-К5</t>
        </is>
      </c>
      <c r="C49" s="379" t="n">
        <v>45992</v>
      </c>
      <c r="D49" s="440" t="inlineStr">
        <is>
          <t>Кладка</t>
        </is>
      </c>
      <c r="E49" s="446" t="n"/>
      <c r="F49" s="444" t="inlineStr">
        <is>
          <t>Стены шахты D600 100 мм</t>
        </is>
      </c>
      <c r="G49" s="440" t="inlineStr">
        <is>
          <t>Корпус 5</t>
        </is>
      </c>
      <c r="H49" s="446" t="n"/>
      <c r="I49" s="446" t="n"/>
      <c r="J49" s="446" t="n"/>
      <c r="K49" s="447" t="inlineStr">
        <is>
          <t>Цементно-песчаный раствор М100</t>
        </is>
      </c>
      <c r="L49" s="440" t="inlineStr">
        <is>
          <t>м3</t>
        </is>
      </c>
      <c r="M49" s="442" t="n">
        <v>0</v>
      </c>
      <c r="N49" s="442">
        <f>W49</f>
        <v/>
      </c>
      <c r="O49" s="440" t="n">
        <v>0</v>
      </c>
      <c r="P49" s="440" t="n">
        <v>0</v>
      </c>
      <c r="Q49" s="434">
        <f>N49*V49+P49</f>
        <v/>
      </c>
      <c r="R49" s="440" t="inlineStr">
        <is>
          <t>м3</t>
        </is>
      </c>
      <c r="S49" s="446" t="n"/>
      <c r="T49" s="446" t="n"/>
      <c r="U49" s="444" t="inlineStr">
        <is>
          <t>Узел Б1 верхнее примыкание 
стены к плите перекрытия</t>
        </is>
      </c>
      <c r="V49" s="440" t="n">
        <v>1</v>
      </c>
      <c r="W49" s="0" t="n">
        <v>0</v>
      </c>
    </row>
    <row r="50" s="1227">
      <c r="A50" s="440" t="inlineStr">
        <is>
          <t>мат.</t>
        </is>
      </c>
      <c r="B50" s="440" t="inlineStr">
        <is>
          <t>13АВ-РД-АР1.1-К5</t>
        </is>
      </c>
      <c r="C50" s="379" t="n">
        <v>45992</v>
      </c>
      <c r="D50" s="440" t="inlineStr">
        <is>
          <t>Кладка</t>
        </is>
      </c>
      <c r="E50" s="446" t="n"/>
      <c r="F50" s="444" t="inlineStr">
        <is>
          <t>Стены шахты D600 100 мм</t>
        </is>
      </c>
      <c r="G50" s="440" t="inlineStr">
        <is>
          <t>Корпус 5</t>
        </is>
      </c>
      <c r="H50" s="446" t="n"/>
      <c r="I50" s="446" t="n"/>
      <c r="J50" s="446" t="n"/>
      <c r="K50" s="447" t="inlineStr">
        <is>
          <t>Дюбель гвоздь 6х40</t>
        </is>
      </c>
      <c r="L50" s="440" t="inlineStr">
        <is>
          <t>шт</t>
        </is>
      </c>
      <c r="M50" s="442" t="n">
        <v>0</v>
      </c>
      <c r="N50" s="442">
        <f>W50</f>
        <v/>
      </c>
      <c r="O50" s="440" t="n">
        <v>0</v>
      </c>
      <c r="P50" s="440" t="n">
        <v>0</v>
      </c>
      <c r="Q50" s="442">
        <f>N50*V50+P50</f>
        <v/>
      </c>
      <c r="R50" s="440" t="inlineStr">
        <is>
          <t>шт</t>
        </is>
      </c>
      <c r="S50" s="446" t="n"/>
      <c r="T50" s="446" t="n"/>
      <c r="U50" s="446" t="n"/>
      <c r="V50" s="440" t="n">
        <v>1</v>
      </c>
      <c r="W50" s="0" t="n">
        <v>0</v>
      </c>
    </row>
    <row r="51" s="1227">
      <c r="A51" s="349" t="inlineStr">
        <is>
          <t>мат.</t>
        </is>
      </c>
      <c r="B51" s="349" t="inlineStr">
        <is>
          <t>13АВ-РД-АР1.1-К5</t>
        </is>
      </c>
      <c r="C51" s="379" t="n">
        <v>45992</v>
      </c>
      <c r="D51" s="349" t="inlineStr">
        <is>
          <t>Кладка</t>
        </is>
      </c>
      <c r="E51" s="349" t="inlineStr">
        <is>
          <t>БАЗА</t>
        </is>
      </c>
      <c r="F51" s="346" t="inlineStr">
        <is>
          <t>Перемычки внутренних стен D600 100 мм</t>
        </is>
      </c>
      <c r="G51" s="349" t="inlineStr">
        <is>
          <t>Корпус 5</t>
        </is>
      </c>
      <c r="H51" s="349" t="n"/>
      <c r="I51" s="349" t="n"/>
      <c r="J51" s="439" t="n"/>
      <c r="K51" s="351" t="inlineStr">
        <is>
          <t>Уголок 75х6 (L=1250мм)</t>
        </is>
      </c>
      <c r="L51" s="349" t="inlineStr">
        <is>
          <t>т</t>
        </is>
      </c>
      <c r="M51" s="442">
        <f>(0.305*27)*2/1000</f>
        <v/>
      </c>
      <c r="N51" s="442">
        <f>(0.305*27)*2/1000</f>
        <v/>
      </c>
      <c r="O51" s="440" t="n">
        <v>0</v>
      </c>
      <c r="P51" s="440" t="n">
        <v>0</v>
      </c>
      <c r="Q51" s="442">
        <f>N51*V51+P51</f>
        <v/>
      </c>
      <c r="R51" s="349" t="inlineStr">
        <is>
          <t>т</t>
        </is>
      </c>
      <c r="S51" s="429" t="n"/>
      <c r="T51" s="349" t="n"/>
      <c r="U51" s="346" t="inlineStr">
        <is>
          <t>ПР-9 - 22 шт
ПР-10 - 5 шт
ПР-17 - 13 шт</t>
        </is>
      </c>
      <c r="V51" s="349" t="n"/>
    </row>
    <row r="52" s="1227">
      <c r="A52" s="349" t="inlineStr">
        <is>
          <t>мат.</t>
        </is>
      </c>
      <c r="B52" s="349" t="inlineStr">
        <is>
          <t>13АВ-РД-АР1.1-К5</t>
        </is>
      </c>
      <c r="C52" s="379" t="n">
        <v>45992</v>
      </c>
      <c r="D52" s="349" t="inlineStr">
        <is>
          <t>Кладка</t>
        </is>
      </c>
      <c r="E52" s="349" t="inlineStr">
        <is>
          <t>БАЗА</t>
        </is>
      </c>
      <c r="F52" s="346" t="inlineStr">
        <is>
          <t>Перемычки внутренних стен D600 100 мм</t>
        </is>
      </c>
      <c r="G52" s="349" t="inlineStr">
        <is>
          <t>Корпус 5</t>
        </is>
      </c>
      <c r="H52" s="349" t="n"/>
      <c r="I52" s="349" t="n"/>
      <c r="J52" s="439" t="n"/>
      <c r="K52" s="351" t="inlineStr">
        <is>
          <t>Уголок 40х4 (L=1400мм)</t>
        </is>
      </c>
      <c r="L52" s="349" t="inlineStr">
        <is>
          <t>т</t>
        </is>
      </c>
      <c r="M52" s="442">
        <f>(3.278*27)*2/1000</f>
        <v/>
      </c>
      <c r="N52" s="442">
        <f>(3.278*27)*2/1000</f>
        <v/>
      </c>
      <c r="O52" s="440" t="n">
        <v>0</v>
      </c>
      <c r="P52" s="440" t="n">
        <v>0</v>
      </c>
      <c r="Q52" s="442">
        <f>N52*V52+P52</f>
        <v/>
      </c>
      <c r="R52" s="349" t="inlineStr">
        <is>
          <t>т</t>
        </is>
      </c>
      <c r="S52" s="349" t="n"/>
      <c r="T52" s="349" t="n"/>
      <c r="U52" s="346" t="n"/>
      <c r="V52" s="349" t="n"/>
    </row>
    <row r="53" s="1227">
      <c r="A53" s="446" t="n"/>
      <c r="B53" s="440" t="inlineStr">
        <is>
          <t>13АВ-РД-АР1.1-К5</t>
        </is>
      </c>
      <c r="C53" s="379" t="n">
        <v>45992</v>
      </c>
      <c r="D53" s="440" t="inlineStr">
        <is>
          <t>Кладка</t>
        </is>
      </c>
      <c r="E53" s="446" t="n"/>
      <c r="F53" s="444" t="inlineStr">
        <is>
          <t>Стены шахты D600 100 мм</t>
        </is>
      </c>
      <c r="G53" s="440" t="inlineStr">
        <is>
          <t>Корпус 5</t>
        </is>
      </c>
      <c r="H53" s="446" t="n"/>
      <c r="I53" s="446" t="n"/>
      <c r="J53" s="446" t="n"/>
      <c r="K53" s="447" t="inlineStr">
        <is>
          <t>Крепление газобетонных блоков к жб стенам</t>
        </is>
      </c>
      <c r="L53" s="440" t="inlineStr">
        <is>
          <t>м.п.</t>
        </is>
      </c>
      <c r="M53" s="442" t="n">
        <v>0</v>
      </c>
      <c r="N53" s="442">
        <f>W53</f>
        <v/>
      </c>
      <c r="O53" s="440" t="n">
        <v>0</v>
      </c>
      <c r="P53" s="440" t="n">
        <v>0</v>
      </c>
      <c r="Q53" s="442">
        <f>N53*V53+P53</f>
        <v/>
      </c>
      <c r="R53" s="440" t="inlineStr">
        <is>
          <t>м.п.</t>
        </is>
      </c>
      <c r="S53" s="446" t="n"/>
      <c r="T53" s="446" t="n"/>
      <c r="U53" s="444" t="inlineStr">
        <is>
          <t>СВ-1.4 Узел В</t>
        </is>
      </c>
      <c r="V53" s="440" t="n">
        <v>1</v>
      </c>
      <c r="W53" s="0" t="n">
        <v>0</v>
      </c>
    </row>
    <row r="54" s="1227">
      <c r="A54" s="440" t="inlineStr">
        <is>
          <t>мат.</t>
        </is>
      </c>
      <c r="B54" s="440" t="inlineStr">
        <is>
          <t>13АВ-РД-АР1.1-К5</t>
        </is>
      </c>
      <c r="C54" s="379" t="n">
        <v>45992</v>
      </c>
      <c r="D54" s="440" t="inlineStr">
        <is>
          <t>Кладка</t>
        </is>
      </c>
      <c r="E54" s="446" t="n"/>
      <c r="F54" s="444" t="inlineStr">
        <is>
          <t>Стены шахты D600 100 мм</t>
        </is>
      </c>
      <c r="G54" s="440" t="inlineStr">
        <is>
          <t>Корпус 5</t>
        </is>
      </c>
      <c r="H54" s="446" t="n"/>
      <c r="I54" s="446" t="n"/>
      <c r="J54" s="446" t="n"/>
      <c r="K54" s="447" t="inlineStr">
        <is>
          <t>Цементно-песчаный раствор М100</t>
        </is>
      </c>
      <c r="L54" s="440" t="inlineStr">
        <is>
          <t>м3</t>
        </is>
      </c>
      <c r="M54" s="442" t="n">
        <v>0</v>
      </c>
      <c r="N54" s="442">
        <f>W54</f>
        <v/>
      </c>
      <c r="O54" s="440" t="n">
        <v>0</v>
      </c>
      <c r="P54" s="440" t="n">
        <v>0</v>
      </c>
      <c r="Q54" s="442">
        <f>N54*V54+P54</f>
        <v/>
      </c>
      <c r="R54" s="440" t="inlineStr">
        <is>
          <t>м3</t>
        </is>
      </c>
      <c r="S54" s="446" t="n"/>
      <c r="T54" s="446" t="n"/>
      <c r="U54" s="446" t="n"/>
      <c r="V54" s="440" t="n">
        <v>1</v>
      </c>
      <c r="W54" s="0" t="n">
        <v>0</v>
      </c>
    </row>
    <row r="55" s="1227">
      <c r="A55" s="440" t="inlineStr">
        <is>
          <t>мат.</t>
        </is>
      </c>
      <c r="B55" s="440" t="inlineStr">
        <is>
          <t>13АВ-РД-АР1.1-К5</t>
        </is>
      </c>
      <c r="C55" s="379" t="n">
        <v>45992</v>
      </c>
      <c r="D55" s="440" t="inlineStr">
        <is>
          <t>Кладка</t>
        </is>
      </c>
      <c r="E55" s="446" t="n"/>
      <c r="F55" s="444" t="inlineStr">
        <is>
          <t>Стены шахты D600 100 мм</t>
        </is>
      </c>
      <c r="G55" s="440" t="inlineStr">
        <is>
          <t>Корпус 5</t>
        </is>
      </c>
      <c r="H55" s="446" t="n"/>
      <c r="I55" s="446" t="n"/>
      <c r="J55" s="446" t="n"/>
      <c r="K55" s="447" t="inlineStr">
        <is>
          <t>Скоба С1</t>
        </is>
      </c>
      <c r="L55" s="440" t="inlineStr">
        <is>
          <t>шт</t>
        </is>
      </c>
      <c r="M55" s="442" t="n">
        <v>0</v>
      </c>
      <c r="N55" s="442">
        <f>W55</f>
        <v/>
      </c>
      <c r="O55" s="440" t="n">
        <v>0</v>
      </c>
      <c r="P55" s="440" t="n">
        <v>0</v>
      </c>
      <c r="Q55" s="442">
        <f>N55*V55+P55</f>
        <v/>
      </c>
      <c r="R55" s="440" t="inlineStr">
        <is>
          <t>шт</t>
        </is>
      </c>
      <c r="S55" s="446" t="n"/>
      <c r="T55" s="446" t="n"/>
      <c r="U55" s="446" t="n"/>
      <c r="V55" s="440" t="n">
        <v>1</v>
      </c>
      <c r="W55" s="0" t="n">
        <v>0</v>
      </c>
    </row>
    <row r="56" s="1227">
      <c r="A56" s="440" t="inlineStr">
        <is>
          <t>мат.</t>
        </is>
      </c>
      <c r="B56" s="440" t="inlineStr">
        <is>
          <t>13АВ-РД-АР1.1-К5</t>
        </is>
      </c>
      <c r="C56" s="379" t="n">
        <v>45992</v>
      </c>
      <c r="D56" s="440" t="inlineStr">
        <is>
          <t>Кладка</t>
        </is>
      </c>
      <c r="E56" s="446" t="n"/>
      <c r="F56" s="444" t="inlineStr">
        <is>
          <t>Стены шахты D600 100 мм</t>
        </is>
      </c>
      <c r="G56" s="440" t="inlineStr">
        <is>
          <t>Корпус 5</t>
        </is>
      </c>
      <c r="H56" s="446" t="n"/>
      <c r="I56" s="446" t="n"/>
      <c r="J56" s="446" t="n"/>
      <c r="K56" s="447" t="inlineStr">
        <is>
          <t>Дюбель гвоздь 5х50</t>
        </is>
      </c>
      <c r="L56" s="440" t="inlineStr">
        <is>
          <t>шт</t>
        </is>
      </c>
      <c r="M56" s="442" t="n">
        <v>0</v>
      </c>
      <c r="N56" s="442">
        <f>W56</f>
        <v/>
      </c>
      <c r="O56" s="440" t="n">
        <v>0</v>
      </c>
      <c r="P56" s="440" t="n">
        <v>0</v>
      </c>
      <c r="Q56" s="442">
        <f>N56*V56+P56</f>
        <v/>
      </c>
      <c r="R56" s="440" t="inlineStr">
        <is>
          <t>шт</t>
        </is>
      </c>
      <c r="S56" s="446" t="n"/>
      <c r="T56" s="446" t="n"/>
      <c r="U56" s="446" t="n"/>
      <c r="V56" s="440" t="n">
        <v>1</v>
      </c>
      <c r="W56" s="0" t="n">
        <v>0</v>
      </c>
    </row>
    <row r="57" s="1227">
      <c r="A57" s="440" t="inlineStr">
        <is>
          <t>мат.</t>
        </is>
      </c>
      <c r="B57" s="440" t="inlineStr">
        <is>
          <t>13АВ-РД-АР1.1-К5</t>
        </is>
      </c>
      <c r="C57" s="379" t="n">
        <v>45992</v>
      </c>
      <c r="D57" s="440" t="inlineStr">
        <is>
          <t>Кладка</t>
        </is>
      </c>
      <c r="E57" s="446" t="n"/>
      <c r="F57" s="444" t="inlineStr">
        <is>
          <t>Стены шахты D600 100 мм</t>
        </is>
      </c>
      <c r="G57" s="440" t="inlineStr">
        <is>
          <t>Корпус 5</t>
        </is>
      </c>
      <c r="H57" s="446" t="n"/>
      <c r="I57" s="446" t="n"/>
      <c r="J57" s="446" t="n"/>
      <c r="K57" s="447" t="inlineStr">
        <is>
          <t>Дюбель гвоздь 5х100</t>
        </is>
      </c>
      <c r="L57" s="440" t="inlineStr">
        <is>
          <t>шт</t>
        </is>
      </c>
      <c r="M57" s="442" t="n">
        <v>0</v>
      </c>
      <c r="N57" s="442">
        <f>W57</f>
        <v/>
      </c>
      <c r="O57" s="440" t="n">
        <v>0</v>
      </c>
      <c r="P57" s="440" t="n">
        <v>0</v>
      </c>
      <c r="Q57" s="442">
        <f>N57*V57+P57</f>
        <v/>
      </c>
      <c r="R57" s="440" t="inlineStr">
        <is>
          <t>шт</t>
        </is>
      </c>
      <c r="S57" s="446" t="n"/>
      <c r="T57" s="446" t="n"/>
      <c r="U57" s="446" t="n"/>
      <c r="V57" s="440" t="n">
        <v>1</v>
      </c>
      <c r="W57" s="0" t="n">
        <v>0</v>
      </c>
    </row>
    <row r="58" s="1227">
      <c r="A58" s="349" t="inlineStr">
        <is>
          <t>мат.</t>
        </is>
      </c>
      <c r="B58" s="349" t="inlineStr">
        <is>
          <t>13АВ-РД-АР1.1-К5</t>
        </is>
      </c>
      <c r="C58" s="379" t="n">
        <v>45992</v>
      </c>
      <c r="D58" s="349" t="inlineStr">
        <is>
          <t>Кладка</t>
        </is>
      </c>
      <c r="E58" s="349" t="inlineStr">
        <is>
          <t>БАЗА</t>
        </is>
      </c>
      <c r="F58" s="346" t="inlineStr">
        <is>
          <t>Трассировки газобетонный блок D600</t>
        </is>
      </c>
      <c r="G58" s="440" t="inlineStr">
        <is>
          <t>Корпус 5</t>
        </is>
      </c>
      <c r="H58" s="349" t="n"/>
      <c r="I58" s="349" t="inlineStr">
        <is>
          <t>м2</t>
        </is>
      </c>
      <c r="J58" s="427">
        <f>IF(AND(E58="БАЗА",I58=L58),N58,IF(E58&lt;&gt;"БАЗА","0",IF(I58&lt;&gt;L58,"Пересчет")))</f>
        <v/>
      </c>
      <c r="K58" s="428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58" s="349" t="inlineStr">
        <is>
          <t>м2</t>
        </is>
      </c>
      <c r="M58" s="442" t="n">
        <v>10</v>
      </c>
      <c r="N58" s="442">
        <f>W58</f>
        <v/>
      </c>
      <c r="O58" s="440" t="n">
        <v>0</v>
      </c>
      <c r="P58" s="440" t="n">
        <v>0</v>
      </c>
      <c r="Q58" s="442">
        <f>N58*V58+P58</f>
        <v/>
      </c>
      <c r="R58" s="349" t="inlineStr">
        <is>
          <t>м2</t>
        </is>
      </c>
      <c r="S58" s="349" t="n"/>
      <c r="T58" s="349" t="n"/>
      <c r="U58" s="346" t="inlineStr">
        <is>
          <t>СВ-1.5</t>
        </is>
      </c>
      <c r="V58" s="349" t="n">
        <v>1</v>
      </c>
      <c r="W58" s="0" t="n">
        <v>0</v>
      </c>
    </row>
    <row r="59" s="1227">
      <c r="A59" s="349" t="inlineStr">
        <is>
          <t>мат.</t>
        </is>
      </c>
      <c r="B59" s="349" t="inlineStr">
        <is>
          <t>13АВ-РД-АР1.1-К5</t>
        </is>
      </c>
      <c r="C59" s="379" t="n">
        <v>45992</v>
      </c>
      <c r="D59" s="349" t="inlineStr">
        <is>
          <t>Кладка</t>
        </is>
      </c>
      <c r="E59" s="349" t="n"/>
      <c r="F59" s="346" t="inlineStr">
        <is>
          <t>Трассировки газобетонный блок D600</t>
        </is>
      </c>
      <c r="G59" s="440" t="inlineStr">
        <is>
          <t>Корпус 5</t>
        </is>
      </c>
      <c r="H59" s="349" t="n"/>
      <c r="I59" s="349" t="n"/>
      <c r="J59" s="439" t="n"/>
      <c r="K59" s="447" t="inlineStr">
        <is>
          <t>Цементно-песчаный раствор М100</t>
        </is>
      </c>
      <c r="L59" s="440" t="inlineStr">
        <is>
          <t>м3</t>
        </is>
      </c>
      <c r="M59" s="442" t="n">
        <v>0</v>
      </c>
      <c r="N59" s="442">
        <f>W59</f>
        <v/>
      </c>
      <c r="O59" s="440" t="n">
        <v>0</v>
      </c>
      <c r="P59" s="440" t="n">
        <v>0</v>
      </c>
      <c r="Q59" s="442">
        <f>N59*V59+P59</f>
        <v/>
      </c>
      <c r="R59" s="440" t="inlineStr">
        <is>
          <t>м3</t>
        </is>
      </c>
      <c r="S59" s="349" t="n"/>
      <c r="T59" s="349" t="n"/>
      <c r="U59" s="349" t="n"/>
      <c r="V59" s="349" t="n">
        <v>1</v>
      </c>
      <c r="W59" s="0" t="n">
        <v>0</v>
      </c>
    </row>
    <row r="60">
      <c r="A60" s="349" t="inlineStr">
        <is>
          <t>мат.</t>
        </is>
      </c>
      <c r="B60" s="349" t="inlineStr">
        <is>
          <t>13АВ-РД-АР1.1-К5</t>
        </is>
      </c>
      <c r="C60" s="379" t="n">
        <v>45992</v>
      </c>
      <c r="D60" s="349" t="inlineStr">
        <is>
          <t>Кладка</t>
        </is>
      </c>
      <c r="E60" s="349" t="inlineStr">
        <is>
          <t>БАЗА</t>
        </is>
      </c>
      <c r="F60" s="346" t="inlineStr">
        <is>
          <t>Перегородки из влагостойких ПСП</t>
        </is>
      </c>
      <c r="G60" s="349" t="inlineStr">
        <is>
          <t>Корпус 5</t>
        </is>
      </c>
      <c r="H60" s="349" t="n"/>
      <c r="I60" s="349" t="inlineStr">
        <is>
          <t>м2</t>
        </is>
      </c>
      <c r="J60" s="427" t="n"/>
      <c r="K60" s="428" t="inlineStr">
        <is>
          <t>Силикатные полнотелые влагостойкие пазогребневые плиты (ПСП) толщиной 80 мм ГОСТ 379-2015</t>
        </is>
      </c>
      <c r="L60" s="349" t="inlineStr">
        <is>
          <t>м2</t>
        </is>
      </c>
      <c r="M60" s="502" t="n">
        <v>3175.3</v>
      </c>
      <c r="N60" s="429">
        <f>W60</f>
        <v/>
      </c>
      <c r="O60" s="349" t="n">
        <v>0</v>
      </c>
      <c r="P60" s="349" t="n">
        <v>0</v>
      </c>
      <c r="Q60" s="429">
        <f>N60*V60+P60</f>
        <v/>
      </c>
      <c r="R60" s="349" t="inlineStr">
        <is>
          <t>м2</t>
        </is>
      </c>
      <c r="S60" s="349" t="n"/>
      <c r="T60" s="349" t="n"/>
      <c r="U60" s="346" t="inlineStr">
        <is>
          <t>СВ-2.1</t>
        </is>
      </c>
      <c r="V60" s="349" t="n">
        <v>1</v>
      </c>
      <c r="W60" s="0" t="n">
        <v>0</v>
      </c>
    </row>
    <row r="61" s="1227">
      <c r="A61" s="349" t="n"/>
      <c r="B61" s="349" t="inlineStr">
        <is>
          <t>13АВ-РД-АР1.1-К5</t>
        </is>
      </c>
      <c r="C61" s="379" t="n">
        <v>45992</v>
      </c>
      <c r="D61" s="349" t="inlineStr">
        <is>
          <t>Кладка</t>
        </is>
      </c>
      <c r="E61" s="349" t="n"/>
      <c r="F61" s="346" t="inlineStr">
        <is>
          <t>Перегородки из влагостойких ПСП</t>
        </is>
      </c>
      <c r="G61" s="349" t="inlineStr">
        <is>
          <t>Корпус 5</t>
        </is>
      </c>
      <c r="H61" s="349" t="n"/>
      <c r="I61" s="349" t="n"/>
      <c r="J61" s="439" t="n"/>
      <c r="K61" s="351" t="inlineStr">
        <is>
          <t>Нижнее крепление плит ПСП к перекрытию</t>
        </is>
      </c>
      <c r="L61" s="349" t="inlineStr">
        <is>
          <t>м.п.</t>
        </is>
      </c>
      <c r="M61" s="429" t="n">
        <v>0</v>
      </c>
      <c r="N61" s="429">
        <f>W61</f>
        <v/>
      </c>
      <c r="O61" s="349" t="n">
        <v>0</v>
      </c>
      <c r="P61" s="349" t="n">
        <v>0</v>
      </c>
      <c r="Q61" s="429">
        <f>N61*V61+P61</f>
        <v/>
      </c>
      <c r="R61" s="349" t="inlineStr">
        <is>
          <t>м.п.</t>
        </is>
      </c>
      <c r="S61" s="349" t="n"/>
      <c r="T61" s="349" t="n"/>
      <c r="U61" s="346" t="inlineStr">
        <is>
          <t>Узел Е2</t>
        </is>
      </c>
      <c r="V61" s="349" t="n">
        <v>1</v>
      </c>
      <c r="W61" s="0" t="n">
        <v>0</v>
      </c>
    </row>
    <row r="62" s="1227">
      <c r="A62" s="349" t="inlineStr">
        <is>
          <t>мат.</t>
        </is>
      </c>
      <c r="B62" s="349" t="inlineStr">
        <is>
          <t>13АВ-РД-АР1.1-К5</t>
        </is>
      </c>
      <c r="C62" s="379" t="n">
        <v>45992</v>
      </c>
      <c r="D62" s="349" t="inlineStr">
        <is>
          <t>Кладка</t>
        </is>
      </c>
      <c r="E62" s="349" t="n"/>
      <c r="F62" s="346" t="inlineStr">
        <is>
          <t>Перегородки из влагостойких ПСП</t>
        </is>
      </c>
      <c r="G62" s="349" t="inlineStr">
        <is>
          <t>Корпус 5</t>
        </is>
      </c>
      <c r="H62" s="349" t="n"/>
      <c r="I62" s="349" t="n"/>
      <c r="J62" s="439" t="n"/>
      <c r="K62" s="351" t="inlineStr">
        <is>
          <t>Гипсовый клей</t>
        </is>
      </c>
      <c r="L62" s="349" t="inlineStr">
        <is>
          <t>м3</t>
        </is>
      </c>
      <c r="M62" s="429" t="n">
        <v>0</v>
      </c>
      <c r="N62" s="429">
        <f>W62</f>
        <v/>
      </c>
      <c r="O62" s="349" t="n">
        <v>0</v>
      </c>
      <c r="P62" s="349" t="n">
        <v>0</v>
      </c>
      <c r="Q62" s="429">
        <f>N62*V62+P62</f>
        <v/>
      </c>
      <c r="R62" s="349" t="inlineStr">
        <is>
          <t>м3</t>
        </is>
      </c>
      <c r="S62" s="349" t="n"/>
      <c r="T62" s="349" t="n"/>
      <c r="U62" s="346" t="inlineStr">
        <is>
          <t>Подушка под стену СВ-2.1
Узел Е2</t>
        </is>
      </c>
      <c r="V62" s="349" t="n">
        <v>1</v>
      </c>
      <c r="W62" s="0" t="n">
        <v>0</v>
      </c>
    </row>
    <row r="63" s="1227">
      <c r="A63" s="349" t="inlineStr">
        <is>
          <t>мат.</t>
        </is>
      </c>
      <c r="B63" s="349" t="inlineStr">
        <is>
          <t>13АВ-РД-АР1.1-К5</t>
        </is>
      </c>
      <c r="C63" s="379" t="n">
        <v>45992</v>
      </c>
      <c r="D63" s="349" t="inlineStr">
        <is>
          <t>Кладка</t>
        </is>
      </c>
      <c r="E63" s="349" t="n"/>
      <c r="F63" s="346" t="inlineStr">
        <is>
          <t>Перегородки из влагостойких ПСП</t>
        </is>
      </c>
      <c r="G63" s="349" t="inlineStr">
        <is>
          <t>Корпус 5</t>
        </is>
      </c>
      <c r="H63" s="349" t="n"/>
      <c r="I63" s="349" t="n"/>
      <c r="J63" s="439" t="n"/>
      <c r="K63" s="351" t="inlineStr">
        <is>
          <t>Скоба С1</t>
        </is>
      </c>
      <c r="L63" s="349" t="inlineStr">
        <is>
          <t>шт</t>
        </is>
      </c>
      <c r="M63" s="429" t="n">
        <v>0</v>
      </c>
      <c r="N63" s="429">
        <f>W63</f>
        <v/>
      </c>
      <c r="O63" s="349" t="n">
        <v>0</v>
      </c>
      <c r="P63" s="349" t="n">
        <v>0</v>
      </c>
      <c r="Q63" s="429">
        <f>N63*V63+P63</f>
        <v/>
      </c>
      <c r="R63" s="349" t="inlineStr">
        <is>
          <t>шт</t>
        </is>
      </c>
      <c r="S63" s="349" t="n"/>
      <c r="T63" s="349" t="n"/>
      <c r="U63" s="346" t="inlineStr">
        <is>
          <t>Материал нижнего крепления блоков СВ-2.1 к перекрытию (узел Е2)</t>
        </is>
      </c>
      <c r="V63" s="349" t="n">
        <v>1</v>
      </c>
      <c r="W63" s="0" t="n">
        <v>0</v>
      </c>
    </row>
    <row r="64" s="1227">
      <c r="A64" s="349" t="inlineStr">
        <is>
          <t>мат.</t>
        </is>
      </c>
      <c r="B64" s="349" t="inlineStr">
        <is>
          <t>13АВ-РД-АР1.1-К5</t>
        </is>
      </c>
      <c r="C64" s="379" t="n">
        <v>45992</v>
      </c>
      <c r="D64" s="349" t="inlineStr">
        <is>
          <t>Кладка</t>
        </is>
      </c>
      <c r="E64" s="349" t="n"/>
      <c r="F64" s="346" t="inlineStr">
        <is>
          <t>Перегородки из влагостойких ПСП</t>
        </is>
      </c>
      <c r="G64" s="349" t="inlineStr">
        <is>
          <t>Корпус 5</t>
        </is>
      </c>
      <c r="H64" s="349" t="n"/>
      <c r="I64" s="349" t="n"/>
      <c r="J64" s="439" t="n"/>
      <c r="K64" s="351" t="inlineStr">
        <is>
          <t>Шуруп самонарезающий длиной 35 мм</t>
        </is>
      </c>
      <c r="L64" s="349" t="inlineStr">
        <is>
          <t>шт</t>
        </is>
      </c>
      <c r="M64" s="429" t="n">
        <v>0</v>
      </c>
      <c r="N64" s="429">
        <f>W64</f>
        <v/>
      </c>
      <c r="O64" s="349" t="n">
        <v>0</v>
      </c>
      <c r="P64" s="349" t="n">
        <v>0</v>
      </c>
      <c r="Q64" s="429">
        <f>N64*V64+P64</f>
        <v/>
      </c>
      <c r="R64" s="349" t="inlineStr">
        <is>
          <t>шт</t>
        </is>
      </c>
      <c r="S64" s="349" t="n"/>
      <c r="T64" s="349" t="n"/>
      <c r="U64" s="346" t="inlineStr">
        <is>
          <t>Материал нижнего крепления блоков СВ-2.1 к перекрытию (узел Е2)</t>
        </is>
      </c>
      <c r="V64" s="349" t="n">
        <v>1</v>
      </c>
      <c r="W64" s="0" t="n">
        <v>0</v>
      </c>
    </row>
    <row r="65" s="1227">
      <c r="A65" s="349" t="inlineStr">
        <is>
          <t>мат.</t>
        </is>
      </c>
      <c r="B65" s="349" t="inlineStr">
        <is>
          <t>13АВ-РД-АР1.1-К5</t>
        </is>
      </c>
      <c r="C65" s="379" t="n">
        <v>45992</v>
      </c>
      <c r="D65" s="349" t="inlineStr">
        <is>
          <t>Кладка</t>
        </is>
      </c>
      <c r="E65" s="349" t="n"/>
      <c r="F65" s="346" t="inlineStr">
        <is>
          <t>Перегородки из влагостойких ПСП</t>
        </is>
      </c>
      <c r="G65" s="349" t="inlineStr">
        <is>
          <t>Корпус 5</t>
        </is>
      </c>
      <c r="H65" s="349" t="n"/>
      <c r="I65" s="349" t="n"/>
      <c r="J65" s="439" t="n"/>
      <c r="K65" s="351" t="inlineStr">
        <is>
          <t>Дюбель гвоздь 6х40</t>
        </is>
      </c>
      <c r="L65" s="349" t="inlineStr">
        <is>
          <t>шт</t>
        </is>
      </c>
      <c r="M65" s="429" t="n">
        <v>0</v>
      </c>
      <c r="N65" s="429">
        <f>W65</f>
        <v/>
      </c>
      <c r="O65" s="349" t="n">
        <v>0</v>
      </c>
      <c r="P65" s="349" t="n">
        <v>0</v>
      </c>
      <c r="Q65" s="429">
        <f>N65*V65+P65</f>
        <v/>
      </c>
      <c r="R65" s="349" t="inlineStr">
        <is>
          <t>шт</t>
        </is>
      </c>
      <c r="S65" s="349" t="n"/>
      <c r="T65" s="349" t="n"/>
      <c r="U65" s="346" t="inlineStr">
        <is>
          <t>Материал нижнего крепления блоков СВ-2.1 к перекрытию (узел Е2)</t>
        </is>
      </c>
      <c r="V65" s="349" t="n">
        <v>1</v>
      </c>
      <c r="W65" s="0" t="n">
        <v>0</v>
      </c>
    </row>
    <row r="66" s="1227">
      <c r="A66" s="349" t="n"/>
      <c r="B66" s="349" t="inlineStr">
        <is>
          <t>13АВ-РД-АР1.1-К5</t>
        </is>
      </c>
      <c r="C66" s="379" t="n">
        <v>45992</v>
      </c>
      <c r="D66" s="349" t="inlineStr">
        <is>
          <t>Кладка</t>
        </is>
      </c>
      <c r="E66" s="349" t="n"/>
      <c r="F66" s="346" t="inlineStr">
        <is>
          <t>Перегородки из влагостойких ПСП</t>
        </is>
      </c>
      <c r="G66" s="349" t="inlineStr">
        <is>
          <t>Корпус 5</t>
        </is>
      </c>
      <c r="H66" s="349" t="n"/>
      <c r="I66" s="349" t="n"/>
      <c r="J66" s="439" t="n"/>
      <c r="K66" s="351" t="inlineStr">
        <is>
          <t>Примыкание к плите перекрытия</t>
        </is>
      </c>
      <c r="L66" s="349" t="inlineStr">
        <is>
          <t>м.п.</t>
        </is>
      </c>
      <c r="M66" s="429" t="n">
        <v>0</v>
      </c>
      <c r="N66" s="429">
        <f>W66</f>
        <v/>
      </c>
      <c r="O66" s="349" t="n">
        <v>0</v>
      </c>
      <c r="P66" s="349" t="n">
        <v>0</v>
      </c>
      <c r="Q66" s="429">
        <f>N66*V66+P66</f>
        <v/>
      </c>
      <c r="R66" s="349" t="inlineStr">
        <is>
          <t>м.п.</t>
        </is>
      </c>
      <c r="S66" s="349" t="n"/>
      <c r="T66" s="349" t="n"/>
      <c r="U66" s="346" t="inlineStr">
        <is>
          <t>Узел Е1</t>
        </is>
      </c>
      <c r="V66" s="349" t="n">
        <v>1</v>
      </c>
      <c r="W66" s="0" t="n">
        <v>0</v>
      </c>
    </row>
    <row r="67" s="1227">
      <c r="A67" s="349" t="inlineStr">
        <is>
          <t>мат.</t>
        </is>
      </c>
      <c r="B67" s="349" t="inlineStr">
        <is>
          <t>13АВ-РД-АР1.1-К5</t>
        </is>
      </c>
      <c r="C67" s="379" t="n">
        <v>45992</v>
      </c>
      <c r="D67" s="349" t="inlineStr">
        <is>
          <t>Кладка</t>
        </is>
      </c>
      <c r="E67" s="349" t="n"/>
      <c r="F67" s="346" t="inlineStr">
        <is>
          <t>Перегородки из влагостойких ПСП</t>
        </is>
      </c>
      <c r="G67" s="349" t="inlineStr">
        <is>
          <t>Корпус 5</t>
        </is>
      </c>
      <c r="H67" s="349" t="n"/>
      <c r="I67" s="349" t="n"/>
      <c r="J67" s="439" t="n"/>
      <c r="K67" s="351" t="inlineStr">
        <is>
          <t>Гипсовый клей</t>
        </is>
      </c>
      <c r="L67" s="349" t="inlineStr">
        <is>
          <t>м3</t>
        </is>
      </c>
      <c r="M67" s="429" t="n">
        <v>0</v>
      </c>
      <c r="N67" s="429">
        <f>W67</f>
        <v/>
      </c>
      <c r="O67" s="349" t="n">
        <v>0</v>
      </c>
      <c r="P67" s="349" t="n">
        <v>0</v>
      </c>
      <c r="Q67" s="429">
        <f>N67*V67+P67</f>
        <v/>
      </c>
      <c r="R67" s="349" t="inlineStr">
        <is>
          <t>м3</t>
        </is>
      </c>
      <c r="S67" s="349" t="n"/>
      <c r="T67" s="349" t="n"/>
      <c r="U67" s="346" t="inlineStr">
        <is>
          <t>Материал верхнего крепления блоков СВ-2.1 к перекрытию (узел Е1)</t>
        </is>
      </c>
      <c r="V67" s="349" t="n">
        <v>1</v>
      </c>
      <c r="W67" s="0" t="n">
        <v>0</v>
      </c>
    </row>
    <row r="68" s="1227">
      <c r="A68" s="349" t="inlineStr">
        <is>
          <t>мат.</t>
        </is>
      </c>
      <c r="B68" s="349" t="inlineStr">
        <is>
          <t>13АВ-РД-АР1.1-К5</t>
        </is>
      </c>
      <c r="C68" s="379" t="n">
        <v>45992</v>
      </c>
      <c r="D68" s="349" t="inlineStr">
        <is>
          <t>Кладка</t>
        </is>
      </c>
      <c r="E68" s="349" t="n"/>
      <c r="F68" s="346" t="inlineStr">
        <is>
          <t>Перегородки из влагостойких ПСП</t>
        </is>
      </c>
      <c r="G68" s="349" t="inlineStr">
        <is>
          <t>Корпус 5</t>
        </is>
      </c>
      <c r="H68" s="349" t="n"/>
      <c r="I68" s="349" t="n"/>
      <c r="J68" s="439" t="n"/>
      <c r="K68" s="351" t="inlineStr">
        <is>
          <t>Скоба С1</t>
        </is>
      </c>
      <c r="L68" s="349" t="inlineStr">
        <is>
          <t>шт</t>
        </is>
      </c>
      <c r="M68" s="429" t="n">
        <v>0</v>
      </c>
      <c r="N68" s="429">
        <f>W68</f>
        <v/>
      </c>
      <c r="O68" s="349" t="n">
        <v>0</v>
      </c>
      <c r="P68" s="349" t="n">
        <v>0</v>
      </c>
      <c r="Q68" s="429">
        <f>N68*V68+P68</f>
        <v/>
      </c>
      <c r="R68" s="349" t="inlineStr">
        <is>
          <t>шт</t>
        </is>
      </c>
      <c r="S68" s="349" t="n"/>
      <c r="T68" s="349" t="n"/>
      <c r="U68" s="346" t="inlineStr">
        <is>
          <t>Материал верхнего крепления блоков СВ-2.1 к перекрытию (узел Е1)</t>
        </is>
      </c>
      <c r="V68" s="349" t="n">
        <v>1</v>
      </c>
      <c r="W68" s="0" t="n">
        <v>0</v>
      </c>
    </row>
    <row r="69" s="1227">
      <c r="A69" s="349" t="inlineStr">
        <is>
          <t>мат.</t>
        </is>
      </c>
      <c r="B69" s="349" t="inlineStr">
        <is>
          <t>13АВ-РД-АР1.1-К5</t>
        </is>
      </c>
      <c r="C69" s="379" t="n">
        <v>45992</v>
      </c>
      <c r="D69" s="349" t="inlineStr">
        <is>
          <t>Кладка</t>
        </is>
      </c>
      <c r="E69" s="349" t="n"/>
      <c r="F69" s="346" t="inlineStr">
        <is>
          <t>Перегородки из влагостойких ПСП</t>
        </is>
      </c>
      <c r="G69" s="349" t="inlineStr">
        <is>
          <t>Корпус 5</t>
        </is>
      </c>
      <c r="H69" s="349" t="n"/>
      <c r="I69" s="349" t="n"/>
      <c r="J69" s="439" t="n"/>
      <c r="K69" s="351" t="inlineStr">
        <is>
          <t>Шуруп самонарезающий длиной 35 мм</t>
        </is>
      </c>
      <c r="L69" s="349" t="inlineStr">
        <is>
          <t>шт</t>
        </is>
      </c>
      <c r="M69" s="429" t="n">
        <v>0</v>
      </c>
      <c r="N69" s="429">
        <f>W69</f>
        <v/>
      </c>
      <c r="O69" s="349" t="n">
        <v>0</v>
      </c>
      <c r="P69" s="349" t="n">
        <v>0</v>
      </c>
      <c r="Q69" s="429">
        <f>N69*V69+P69</f>
        <v/>
      </c>
      <c r="R69" s="349" t="inlineStr">
        <is>
          <t>шт</t>
        </is>
      </c>
      <c r="S69" s="349" t="n"/>
      <c r="T69" s="349" t="n"/>
      <c r="U69" s="346" t="inlineStr">
        <is>
          <t>Материал верхнего крепления блоков СВ-2.1 к перекрытию (узел Е1)</t>
        </is>
      </c>
      <c r="V69" s="349" t="n">
        <v>1</v>
      </c>
      <c r="W69" s="0" t="n">
        <v>0</v>
      </c>
    </row>
    <row r="70" s="1227">
      <c r="A70" s="349" t="n"/>
      <c r="B70" s="349" t="inlineStr">
        <is>
          <t>13АВ-РД-АР1.1-К5</t>
        </is>
      </c>
      <c r="C70" s="379" t="n">
        <v>45992</v>
      </c>
      <c r="D70" s="349" t="inlineStr">
        <is>
          <t>Кладка</t>
        </is>
      </c>
      <c r="E70" s="349" t="n"/>
      <c r="F70" s="346" t="inlineStr">
        <is>
          <t>Перегородки из влагостойких ПСП</t>
        </is>
      </c>
      <c r="G70" s="349" t="inlineStr">
        <is>
          <t>Корпус 5</t>
        </is>
      </c>
      <c r="H70" s="349" t="n"/>
      <c r="I70" s="349" t="n"/>
      <c r="J70" s="439" t="n"/>
      <c r="K70" s="351" t="inlineStr">
        <is>
          <t>Крепление плит ПСП к жб стенам</t>
        </is>
      </c>
      <c r="L70" s="349" t="inlineStr">
        <is>
          <t>м.п.</t>
        </is>
      </c>
      <c r="M70" s="429" t="n">
        <v>0</v>
      </c>
      <c r="N70" s="429">
        <f>W70</f>
        <v/>
      </c>
      <c r="O70" s="349" t="n">
        <v>0</v>
      </c>
      <c r="P70" s="349" t="n">
        <v>0</v>
      </c>
      <c r="Q70" s="429">
        <f>N70*V70+P70</f>
        <v/>
      </c>
      <c r="R70" s="349" t="inlineStr">
        <is>
          <t>м.п.</t>
        </is>
      </c>
      <c r="S70" s="349" t="n"/>
      <c r="T70" s="349" t="n"/>
      <c r="U70" s="349" t="inlineStr">
        <is>
          <t>Узел В</t>
        </is>
      </c>
      <c r="V70" s="349" t="n"/>
      <c r="W70" s="0" t="n">
        <v>0</v>
      </c>
    </row>
    <row r="71" s="1227">
      <c r="A71" s="349" t="inlineStr">
        <is>
          <t>мат.</t>
        </is>
      </c>
      <c r="B71" s="349" t="inlineStr">
        <is>
          <t>13АВ-РД-АР1.1-К5</t>
        </is>
      </c>
      <c r="C71" s="379" t="n">
        <v>45992</v>
      </c>
      <c r="D71" s="349" t="inlineStr">
        <is>
          <t>Кладка</t>
        </is>
      </c>
      <c r="E71" s="349" t="n"/>
      <c r="F71" s="346" t="inlineStr">
        <is>
          <t>Перегородки из влагостойких ПСП</t>
        </is>
      </c>
      <c r="G71" s="349" t="inlineStr">
        <is>
          <t>Корпус 5</t>
        </is>
      </c>
      <c r="H71" s="349" t="n"/>
      <c r="I71" s="349" t="n"/>
      <c r="J71" s="439" t="n"/>
      <c r="K71" s="351" t="inlineStr">
        <is>
          <t>Гипсовый клей</t>
        </is>
      </c>
      <c r="L71" s="349" t="inlineStr">
        <is>
          <t>м3</t>
        </is>
      </c>
      <c r="M71" s="429" t="n">
        <v>0</v>
      </c>
      <c r="N71" s="429">
        <f>W71</f>
        <v/>
      </c>
      <c r="O71" s="349" t="n">
        <v>0</v>
      </c>
      <c r="P71" s="349" t="n">
        <v>0</v>
      </c>
      <c r="Q71" s="429">
        <f>N71*V71+P71</f>
        <v/>
      </c>
      <c r="R71" s="349" t="inlineStr">
        <is>
          <t>м3</t>
        </is>
      </c>
      <c r="S71" s="349" t="n"/>
      <c r="T71" s="349" t="n"/>
      <c r="U71" s="346" t="inlineStr">
        <is>
          <t>Материал крепления блоков СВ-2.1 к стенам (узел В)</t>
        </is>
      </c>
      <c r="V71" s="349" t="n">
        <v>1</v>
      </c>
      <c r="W71" s="0" t="n">
        <v>0</v>
      </c>
    </row>
    <row r="72" s="1227">
      <c r="A72" s="349" t="inlineStr">
        <is>
          <t>мат.</t>
        </is>
      </c>
      <c r="B72" s="349" t="inlineStr">
        <is>
          <t>13АВ-РД-АР1.1-К5</t>
        </is>
      </c>
      <c r="C72" s="379" t="n">
        <v>45992</v>
      </c>
      <c r="D72" s="349" t="inlineStr">
        <is>
          <t>Кладка</t>
        </is>
      </c>
      <c r="E72" s="349" t="n"/>
      <c r="F72" s="346" t="inlineStr">
        <is>
          <t>Перегородки из влагостойких ПСП</t>
        </is>
      </c>
      <c r="G72" s="349" t="inlineStr">
        <is>
          <t>Корпус 5</t>
        </is>
      </c>
      <c r="H72" s="349" t="n"/>
      <c r="I72" s="349" t="n"/>
      <c r="J72" s="439" t="n"/>
      <c r="K72" s="351" t="inlineStr">
        <is>
          <t>Скоба С1</t>
        </is>
      </c>
      <c r="L72" s="349" t="inlineStr">
        <is>
          <t>шт</t>
        </is>
      </c>
      <c r="M72" s="429" t="n">
        <v>0</v>
      </c>
      <c r="N72" s="429">
        <f>W72</f>
        <v/>
      </c>
      <c r="O72" s="349" t="n">
        <v>0</v>
      </c>
      <c r="P72" s="349" t="n">
        <v>0</v>
      </c>
      <c r="Q72" s="429">
        <f>N72*V72+P72</f>
        <v/>
      </c>
      <c r="R72" s="349" t="inlineStr">
        <is>
          <t>шт</t>
        </is>
      </c>
      <c r="S72" s="349" t="n"/>
      <c r="T72" s="349" t="n"/>
      <c r="U72" s="346" t="inlineStr">
        <is>
          <t>Материал крепления блоков СВ-2.1 к стенам (узел В)</t>
        </is>
      </c>
      <c r="V72" s="349" t="n">
        <v>1</v>
      </c>
      <c r="W72" s="0" t="n">
        <v>0</v>
      </c>
    </row>
    <row r="73" s="1227">
      <c r="A73" s="349" t="inlineStr">
        <is>
          <t>мат.</t>
        </is>
      </c>
      <c r="B73" s="349" t="inlineStr">
        <is>
          <t>13АВ-РД-АР1.1-К5</t>
        </is>
      </c>
      <c r="C73" s="379" t="n">
        <v>45992</v>
      </c>
      <c r="D73" s="349" t="inlineStr">
        <is>
          <t>Кладка</t>
        </is>
      </c>
      <c r="E73" s="349" t="n"/>
      <c r="F73" s="346" t="inlineStr">
        <is>
          <t>Перегородки из влагостойких ПСП</t>
        </is>
      </c>
      <c r="G73" s="349" t="inlineStr">
        <is>
          <t>Корпус 5</t>
        </is>
      </c>
      <c r="H73" s="349" t="n"/>
      <c r="I73" s="349" t="n"/>
      <c r="J73" s="439" t="n"/>
      <c r="K73" s="351" t="inlineStr">
        <is>
          <t>Шуруп самонарезающий длиной 35 мм</t>
        </is>
      </c>
      <c r="L73" s="349" t="inlineStr">
        <is>
          <t>шт</t>
        </is>
      </c>
      <c r="M73" s="429" t="n">
        <v>0</v>
      </c>
      <c r="N73" s="429">
        <f>W73</f>
        <v/>
      </c>
      <c r="O73" s="349" t="n">
        <v>0</v>
      </c>
      <c r="P73" s="349" t="n">
        <v>0</v>
      </c>
      <c r="Q73" s="429">
        <f>N73*V73+P73</f>
        <v/>
      </c>
      <c r="R73" s="349" t="inlineStr">
        <is>
          <t>шт</t>
        </is>
      </c>
      <c r="S73" s="349" t="n"/>
      <c r="T73" s="349" t="n"/>
      <c r="U73" s="346" t="inlineStr">
        <is>
          <t>Материал крепления блоков СВ-2.1 к стенам (узел В)</t>
        </is>
      </c>
      <c r="V73" s="349" t="n">
        <v>1</v>
      </c>
      <c r="W73" s="0" t="n">
        <v>0</v>
      </c>
    </row>
    <row r="74" s="1227">
      <c r="A74" s="349" t="inlineStr">
        <is>
          <t>мат.</t>
        </is>
      </c>
      <c r="B74" s="349" t="inlineStr">
        <is>
          <t>13АВ-РД-АР1.1-К5</t>
        </is>
      </c>
      <c r="C74" s="379" t="n">
        <v>45992</v>
      </c>
      <c r="D74" s="349" t="inlineStr">
        <is>
          <t>Кладка</t>
        </is>
      </c>
      <c r="E74" s="349" t="n"/>
      <c r="F74" s="346" t="inlineStr">
        <is>
          <t>Перегородки из влагостойких ПСП</t>
        </is>
      </c>
      <c r="G74" s="349" t="inlineStr">
        <is>
          <t>Корпус 5</t>
        </is>
      </c>
      <c r="H74" s="349" t="n"/>
      <c r="I74" s="349" t="n"/>
      <c r="J74" s="439" t="n"/>
      <c r="K74" s="351" t="inlineStr">
        <is>
          <t>Дюбель гвоздь 6х40</t>
        </is>
      </c>
      <c r="L74" s="349" t="inlineStr">
        <is>
          <t>шт</t>
        </is>
      </c>
      <c r="M74" s="429" t="n">
        <v>0</v>
      </c>
      <c r="N74" s="429">
        <f>W74</f>
        <v/>
      </c>
      <c r="O74" s="349" t="n">
        <v>0</v>
      </c>
      <c r="P74" s="349" t="n">
        <v>0</v>
      </c>
      <c r="Q74" s="429">
        <f>N74*V74+P74</f>
        <v/>
      </c>
      <c r="R74" s="349" t="inlineStr">
        <is>
          <t>шт</t>
        </is>
      </c>
      <c r="S74" s="349" t="n"/>
      <c r="T74" s="349" t="n"/>
      <c r="U74" s="346" t="inlineStr">
        <is>
          <t>Материал крепления блоков СВ-2.1 к стенам (узел В)</t>
        </is>
      </c>
      <c r="V74" s="349" t="n">
        <v>1</v>
      </c>
      <c r="W74" s="0" t="n">
        <v>0</v>
      </c>
    </row>
    <row r="75" s="1227">
      <c r="A75" s="349" t="inlineStr">
        <is>
          <t>мат.</t>
        </is>
      </c>
      <c r="B75" s="349" t="inlineStr">
        <is>
          <t>13АВ-РД-АР1.1-К5</t>
        </is>
      </c>
      <c r="C75" s="379" t="n">
        <v>45992</v>
      </c>
      <c r="D75" s="349" t="inlineStr">
        <is>
          <t>Кладка</t>
        </is>
      </c>
      <c r="E75" s="349" t="n"/>
      <c r="F75" s="346" t="inlineStr">
        <is>
          <t>Перемычки перегородок из влагостойких ПСП</t>
        </is>
      </c>
      <c r="G75" s="349" t="inlineStr">
        <is>
          <t>Корпус 5</t>
        </is>
      </c>
      <c r="H75" s="349" t="n"/>
      <c r="I75" s="349" t="n"/>
      <c r="J75" s="439" t="n"/>
      <c r="K75" s="351" t="inlineStr">
        <is>
          <t>Уголок 40х4 (L=1150мм)</t>
        </is>
      </c>
      <c r="L75" s="349" t="inlineStr">
        <is>
          <t>т</t>
        </is>
      </c>
      <c r="M75" s="429">
        <f>(317.262+46.464)/1000</f>
        <v/>
      </c>
      <c r="N75" s="429">
        <f>(317.262+46.464)/1000</f>
        <v/>
      </c>
      <c r="O75" s="349" t="n"/>
      <c r="P75" s="349" t="n"/>
      <c r="Q75" s="429">
        <f>(317.262+46.464)/1000</f>
        <v/>
      </c>
      <c r="R75" s="349" t="inlineStr">
        <is>
          <t>т</t>
        </is>
      </c>
      <c r="S75" s="349" t="n"/>
      <c r="T75" s="349" t="n"/>
      <c r="U75" s="349" t="inlineStr">
        <is>
          <t>ПР-5 -57 штук
ПР-18 6 штук</t>
        </is>
      </c>
      <c r="V75" s="349" t="n"/>
    </row>
    <row r="76" s="1227">
      <c r="A76" s="349" t="inlineStr">
        <is>
          <t>мат.</t>
        </is>
      </c>
      <c r="B76" s="349" t="inlineStr">
        <is>
          <t>13АВ-РД-АР1.1-К5</t>
        </is>
      </c>
      <c r="C76" s="379" t="n">
        <v>45992</v>
      </c>
      <c r="D76" s="349" t="inlineStr">
        <is>
          <t>Кладка</t>
        </is>
      </c>
      <c r="E76" s="349" t="n"/>
      <c r="F76" s="346" t="inlineStr">
        <is>
          <t>Перемычки перегородок из влагостойких ПСП</t>
        </is>
      </c>
      <c r="G76" s="349" t="inlineStr">
        <is>
          <t>Корпус 5</t>
        </is>
      </c>
      <c r="H76" s="349" t="n"/>
      <c r="I76" s="349" t="n"/>
      <c r="J76" s="439" t="n"/>
      <c r="K76" s="351" t="inlineStr">
        <is>
          <t>Уголок 80х6 (L=80мм)</t>
        </is>
      </c>
      <c r="L76" s="349" t="inlineStr">
        <is>
          <t>т</t>
        </is>
      </c>
      <c r="M76" s="429">
        <f>33.56/1000</f>
        <v/>
      </c>
      <c r="N76" s="429">
        <f>0.129+0.009</f>
        <v/>
      </c>
      <c r="O76" s="349" t="n"/>
      <c r="P76" s="349" t="n"/>
      <c r="Q76" s="429" t="n"/>
      <c r="R76" s="349" t="inlineStr">
        <is>
          <t>т</t>
        </is>
      </c>
      <c r="S76" s="349" t="n"/>
      <c r="T76" s="349" t="n"/>
      <c r="U76" s="349" t="n"/>
      <c r="V76" s="349" t="n"/>
    </row>
    <row r="77" ht="29.25" customHeight="1" s="1227">
      <c r="A77" s="349" t="inlineStr">
        <is>
          <t>мат.</t>
        </is>
      </c>
      <c r="B77" s="349" t="inlineStr">
        <is>
          <t>13АВ-РД-АР1.1-К5</t>
        </is>
      </c>
      <c r="C77" s="379" t="n">
        <v>45992</v>
      </c>
      <c r="D77" s="349" t="inlineStr">
        <is>
          <t>Кладка</t>
        </is>
      </c>
      <c r="E77" s="349" t="inlineStr">
        <is>
          <t>БАЗА</t>
        </is>
      </c>
      <c r="F77" s="346" t="inlineStr">
        <is>
          <t>Перемычки перегородок из ПСП</t>
        </is>
      </c>
      <c r="G77" s="349" t="inlineStr">
        <is>
          <t>Корпус 5</t>
        </is>
      </c>
      <c r="H77" s="349" t="n"/>
      <c r="I77" s="349" t="inlineStr">
        <is>
          <t>м2</t>
        </is>
      </c>
      <c r="J77" s="427" t="n"/>
      <c r="K77" s="428" t="inlineStr">
        <is>
          <t>Силикатные полнотелые пазогребневые плиты (ПСП) толщиной 80 мм ГОСТ 379-2015</t>
        </is>
      </c>
      <c r="L77" s="349" t="inlineStr">
        <is>
          <t>м2</t>
        </is>
      </c>
      <c r="M77" s="502" t="n">
        <v>2949.1</v>
      </c>
      <c r="N77" s="429">
        <f>W77</f>
        <v/>
      </c>
      <c r="O77" s="349" t="n">
        <v>0</v>
      </c>
      <c r="P77" s="349" t="n">
        <v>0</v>
      </c>
      <c r="Q77" s="429">
        <f>N77*V77+P77</f>
        <v/>
      </c>
      <c r="R77" s="349" t="inlineStr">
        <is>
          <t>м2</t>
        </is>
      </c>
      <c r="S77" s="349" t="n"/>
      <c r="T77" s="349" t="n"/>
      <c r="U77" s="349" t="inlineStr">
        <is>
          <t>СВ-2.2</t>
        </is>
      </c>
      <c r="V77" s="349" t="n">
        <v>1</v>
      </c>
      <c r="W77" s="0" t="n">
        <v>0</v>
      </c>
    </row>
    <row r="78" s="1227">
      <c r="A78" s="349" t="n"/>
      <c r="B78" s="349" t="inlineStr">
        <is>
          <t>13АВ-РД-АР1.1-К5</t>
        </is>
      </c>
      <c r="C78" s="379" t="n">
        <v>45992</v>
      </c>
      <c r="D78" s="349" t="inlineStr">
        <is>
          <t>Кладка</t>
        </is>
      </c>
      <c r="E78" s="349" t="n"/>
      <c r="F78" s="346" t="inlineStr">
        <is>
          <t>Перегородки из влагостойких ПСП</t>
        </is>
      </c>
      <c r="G78" s="349" t="inlineStr">
        <is>
          <t>Корпус 5</t>
        </is>
      </c>
      <c r="H78" s="349" t="n"/>
      <c r="I78" s="349" t="n"/>
      <c r="J78" s="439" t="n"/>
      <c r="K78" s="351" t="inlineStr">
        <is>
          <t>Нижнее крепление плит ПСП к перекрытию</t>
        </is>
      </c>
      <c r="L78" s="349" t="inlineStr">
        <is>
          <t>м.п.</t>
        </is>
      </c>
      <c r="M78" s="429" t="n">
        <v>0</v>
      </c>
      <c r="N78" s="429">
        <f>W78</f>
        <v/>
      </c>
      <c r="O78" s="349" t="n">
        <v>0</v>
      </c>
      <c r="P78" s="349" t="n">
        <v>0</v>
      </c>
      <c r="Q78" s="429">
        <f>N78*V78+P78</f>
        <v/>
      </c>
      <c r="R78" s="349" t="inlineStr">
        <is>
          <t>м.п.</t>
        </is>
      </c>
      <c r="S78" s="349" t="n"/>
      <c r="T78" s="349" t="n"/>
      <c r="U78" s="346" t="inlineStr">
        <is>
          <t>Узел Е2</t>
        </is>
      </c>
      <c r="V78" s="349" t="n">
        <v>1</v>
      </c>
      <c r="W78" s="0" t="n">
        <v>0</v>
      </c>
    </row>
    <row r="79" s="1227">
      <c r="A79" s="349" t="inlineStr">
        <is>
          <t>мат.</t>
        </is>
      </c>
      <c r="B79" s="349" t="inlineStr">
        <is>
          <t>13АВ-РД-АР1.1-К5</t>
        </is>
      </c>
      <c r="C79" s="379" t="n">
        <v>45992</v>
      </c>
      <c r="D79" s="349" t="inlineStr">
        <is>
          <t>Кладка</t>
        </is>
      </c>
      <c r="E79" s="349" t="n"/>
      <c r="F79" s="346" t="inlineStr">
        <is>
          <t>Перегородки из влагостойких ПСП</t>
        </is>
      </c>
      <c r="G79" s="349" t="inlineStr">
        <is>
          <t>Корпус 5</t>
        </is>
      </c>
      <c r="H79" s="349" t="n"/>
      <c r="I79" s="349" t="n"/>
      <c r="J79" s="439" t="n"/>
      <c r="K79" s="351" t="inlineStr">
        <is>
          <t>Гипсовый клей</t>
        </is>
      </c>
      <c r="L79" s="349" t="inlineStr">
        <is>
          <t>м3</t>
        </is>
      </c>
      <c r="M79" s="429" t="n">
        <v>0</v>
      </c>
      <c r="N79" s="429">
        <f>W79</f>
        <v/>
      </c>
      <c r="O79" s="349" t="n">
        <v>0</v>
      </c>
      <c r="P79" s="349" t="n">
        <v>0</v>
      </c>
      <c r="Q79" s="429">
        <f>N79*V79+P79</f>
        <v/>
      </c>
      <c r="R79" s="349" t="inlineStr">
        <is>
          <t>м3</t>
        </is>
      </c>
      <c r="S79" s="349" t="n"/>
      <c r="T79" s="349" t="n"/>
      <c r="U79" s="346" t="inlineStr">
        <is>
          <t>Подушка под стену СВ-2.2
Узел Е2</t>
        </is>
      </c>
      <c r="V79" s="349" t="n">
        <v>1</v>
      </c>
      <c r="W79" s="0" t="n">
        <v>0</v>
      </c>
    </row>
    <row r="80" s="1227">
      <c r="A80" s="349" t="inlineStr">
        <is>
          <t>мат.</t>
        </is>
      </c>
      <c r="B80" s="349" t="inlineStr">
        <is>
          <t>13АВ-РД-АР1.1-К5</t>
        </is>
      </c>
      <c r="C80" s="379" t="n">
        <v>45992</v>
      </c>
      <c r="D80" s="349" t="inlineStr">
        <is>
          <t>Кладка</t>
        </is>
      </c>
      <c r="E80" s="349" t="n"/>
      <c r="F80" s="346" t="inlineStr">
        <is>
          <t>Перегородки из влагостойких ПСП</t>
        </is>
      </c>
      <c r="G80" s="349" t="inlineStr">
        <is>
          <t>Корпус 5</t>
        </is>
      </c>
      <c r="H80" s="349" t="n"/>
      <c r="I80" s="349" t="n"/>
      <c r="J80" s="439" t="n"/>
      <c r="K80" s="351" t="inlineStr">
        <is>
          <t>Скоба С1</t>
        </is>
      </c>
      <c r="L80" s="349" t="inlineStr">
        <is>
          <t>шт</t>
        </is>
      </c>
      <c r="M80" s="429" t="n">
        <v>0</v>
      </c>
      <c r="N80" s="429">
        <f>W80</f>
        <v/>
      </c>
      <c r="O80" s="349" t="n">
        <v>0</v>
      </c>
      <c r="P80" s="349" t="n">
        <v>0</v>
      </c>
      <c r="Q80" s="429">
        <f>N80*V80+P80</f>
        <v/>
      </c>
      <c r="R80" s="349" t="inlineStr">
        <is>
          <t>шт</t>
        </is>
      </c>
      <c r="S80" s="349" t="n"/>
      <c r="T80" s="349" t="n"/>
      <c r="U80" s="346" t="inlineStr">
        <is>
          <t>Материал нижнего крепления блоков СВ-2.2 к перекрытию (узел Е2)</t>
        </is>
      </c>
      <c r="V80" s="349" t="n">
        <v>1</v>
      </c>
      <c r="W80" s="0" t="n">
        <v>0</v>
      </c>
    </row>
    <row r="81" s="1227">
      <c r="A81" s="349" t="inlineStr">
        <is>
          <t>мат.</t>
        </is>
      </c>
      <c r="B81" s="349" t="inlineStr">
        <is>
          <t>13АВ-РД-АР1.1-К5</t>
        </is>
      </c>
      <c r="C81" s="379" t="n">
        <v>45992</v>
      </c>
      <c r="D81" s="349" t="inlineStr">
        <is>
          <t>Кладка</t>
        </is>
      </c>
      <c r="E81" s="349" t="n"/>
      <c r="F81" s="346" t="inlineStr">
        <is>
          <t>Перегородки из влагостойких ПСП</t>
        </is>
      </c>
      <c r="G81" s="349" t="inlineStr">
        <is>
          <t>Корпус 5</t>
        </is>
      </c>
      <c r="H81" s="349" t="n"/>
      <c r="I81" s="349" t="n"/>
      <c r="J81" s="439" t="n"/>
      <c r="K81" s="351" t="inlineStr">
        <is>
          <t>Шуруп самонарезающий длиной 35 мм</t>
        </is>
      </c>
      <c r="L81" s="349" t="inlineStr">
        <is>
          <t>шт</t>
        </is>
      </c>
      <c r="M81" s="429" t="n">
        <v>0</v>
      </c>
      <c r="N81" s="429">
        <f>W81</f>
        <v/>
      </c>
      <c r="O81" s="349" t="n">
        <v>0</v>
      </c>
      <c r="P81" s="349" t="n">
        <v>0</v>
      </c>
      <c r="Q81" s="429">
        <f>N81*V81+P81</f>
        <v/>
      </c>
      <c r="R81" s="349" t="inlineStr">
        <is>
          <t>шт</t>
        </is>
      </c>
      <c r="S81" s="349" t="n"/>
      <c r="T81" s="349" t="n"/>
      <c r="U81" s="346" t="inlineStr">
        <is>
          <t>Материал нижнего крепления блоков СВ-2.2 к перекрытию (узел Е2)</t>
        </is>
      </c>
      <c r="V81" s="349" t="n">
        <v>1</v>
      </c>
      <c r="W81" s="0" t="n">
        <v>0</v>
      </c>
    </row>
    <row r="82" s="1227">
      <c r="A82" s="349" t="inlineStr">
        <is>
          <t>мат.</t>
        </is>
      </c>
      <c r="B82" s="349" t="inlineStr">
        <is>
          <t>13АВ-РД-АР1.1-К5</t>
        </is>
      </c>
      <c r="C82" s="379" t="n">
        <v>45992</v>
      </c>
      <c r="D82" s="349" t="inlineStr">
        <is>
          <t>Кладка</t>
        </is>
      </c>
      <c r="E82" s="349" t="n"/>
      <c r="F82" s="346" t="inlineStr">
        <is>
          <t>Перегородки из влагостойких ПСП</t>
        </is>
      </c>
      <c r="G82" s="349" t="inlineStr">
        <is>
          <t>Корпус 5</t>
        </is>
      </c>
      <c r="H82" s="349" t="n"/>
      <c r="I82" s="349" t="n"/>
      <c r="J82" s="439" t="n"/>
      <c r="K82" s="351" t="inlineStr">
        <is>
          <t>Дюбель гвоздь 6х40</t>
        </is>
      </c>
      <c r="L82" s="349" t="inlineStr">
        <is>
          <t>шт</t>
        </is>
      </c>
      <c r="M82" s="429" t="n">
        <v>0</v>
      </c>
      <c r="N82" s="429">
        <f>W82</f>
        <v/>
      </c>
      <c r="O82" s="349" t="n">
        <v>0</v>
      </c>
      <c r="P82" s="349" t="n">
        <v>0</v>
      </c>
      <c r="Q82" s="429">
        <f>N82*V82+P82</f>
        <v/>
      </c>
      <c r="R82" s="349" t="inlineStr">
        <is>
          <t>шт</t>
        </is>
      </c>
      <c r="S82" s="349" t="n"/>
      <c r="T82" s="349" t="n"/>
      <c r="U82" s="346" t="inlineStr">
        <is>
          <t>Материал нижнего крепления блоков СВ-2.2 к перекрытию (узел Е2)</t>
        </is>
      </c>
      <c r="V82" s="349" t="n">
        <v>1</v>
      </c>
      <c r="W82" s="0" t="n">
        <v>0</v>
      </c>
    </row>
    <row r="83" s="1227">
      <c r="A83" s="349" t="n"/>
      <c r="B83" s="349" t="inlineStr">
        <is>
          <t>13АВ-РД-АР1.1-К5</t>
        </is>
      </c>
      <c r="C83" s="379" t="n">
        <v>45992</v>
      </c>
      <c r="D83" s="349" t="inlineStr">
        <is>
          <t>Кладка</t>
        </is>
      </c>
      <c r="E83" s="349" t="n"/>
      <c r="F83" s="346" t="inlineStr">
        <is>
          <t>Перемычки перегородок из ПСП</t>
        </is>
      </c>
      <c r="G83" s="349" t="inlineStr">
        <is>
          <t>Корпус 5</t>
        </is>
      </c>
      <c r="H83" s="349" t="n"/>
      <c r="I83" s="349" t="n"/>
      <c r="J83" s="439" t="n"/>
      <c r="K83" s="351" t="inlineStr">
        <is>
          <t>Примыкание к плите перекрытия</t>
        </is>
      </c>
      <c r="L83" s="349" t="inlineStr">
        <is>
          <t>м.п.</t>
        </is>
      </c>
      <c r="M83" s="429" t="n">
        <v>0</v>
      </c>
      <c r="N83" s="429">
        <f>W83</f>
        <v/>
      </c>
      <c r="O83" s="349" t="n">
        <v>0</v>
      </c>
      <c r="P83" s="349" t="n">
        <v>0</v>
      </c>
      <c r="Q83" s="429">
        <f>N83*V83+P83</f>
        <v/>
      </c>
      <c r="R83" s="349" t="inlineStr">
        <is>
          <t>м.п.</t>
        </is>
      </c>
      <c r="S83" s="349" t="n"/>
      <c r="T83" s="349" t="n"/>
      <c r="U83" s="346" t="inlineStr">
        <is>
          <t>Узел Е1</t>
        </is>
      </c>
      <c r="V83" s="349" t="n">
        <v>1</v>
      </c>
      <c r="W83" s="0" t="n">
        <v>0</v>
      </c>
    </row>
    <row r="84" s="1227">
      <c r="A84" s="349" t="inlineStr">
        <is>
          <t>мат.</t>
        </is>
      </c>
      <c r="B84" s="349" t="inlineStr">
        <is>
          <t>13АВ-РД-АР1.1-К5</t>
        </is>
      </c>
      <c r="C84" s="379" t="n">
        <v>45992</v>
      </c>
      <c r="D84" s="349" t="inlineStr">
        <is>
          <t>Кладка</t>
        </is>
      </c>
      <c r="E84" s="349" t="n"/>
      <c r="F84" s="346" t="inlineStr">
        <is>
          <t>Перегородки из влагостойких ПСП</t>
        </is>
      </c>
      <c r="G84" s="349" t="inlineStr">
        <is>
          <t>Корпус 5</t>
        </is>
      </c>
      <c r="H84" s="349" t="n"/>
      <c r="I84" s="349" t="n"/>
      <c r="J84" s="439" t="n"/>
      <c r="K84" s="351" t="inlineStr">
        <is>
          <t>Гипсовый клей</t>
        </is>
      </c>
      <c r="L84" s="349" t="inlineStr">
        <is>
          <t>м3</t>
        </is>
      </c>
      <c r="M84" s="429" t="n">
        <v>0</v>
      </c>
      <c r="N84" s="429">
        <f>W84</f>
        <v/>
      </c>
      <c r="O84" s="349" t="n">
        <v>0</v>
      </c>
      <c r="P84" s="349" t="n">
        <v>0</v>
      </c>
      <c r="Q84" s="429">
        <f>N84*V84+P84</f>
        <v/>
      </c>
      <c r="R84" s="349" t="inlineStr">
        <is>
          <t>м3</t>
        </is>
      </c>
      <c r="S84" s="349" t="n"/>
      <c r="T84" s="349" t="n"/>
      <c r="U84" s="346" t="inlineStr">
        <is>
          <t>Материал верхнего крепления блоков СВ-2.2 к перекрытию (узел Е1)</t>
        </is>
      </c>
      <c r="V84" s="349" t="n">
        <v>1</v>
      </c>
      <c r="W84" s="0" t="n">
        <v>0</v>
      </c>
    </row>
    <row r="85" s="1227">
      <c r="A85" s="349" t="inlineStr">
        <is>
          <t>мат.</t>
        </is>
      </c>
      <c r="B85" s="349" t="inlineStr">
        <is>
          <t>13АВ-РД-АР1.1-К5</t>
        </is>
      </c>
      <c r="C85" s="379" t="n">
        <v>45992</v>
      </c>
      <c r="D85" s="349" t="inlineStr">
        <is>
          <t>Кладка</t>
        </is>
      </c>
      <c r="E85" s="349" t="n"/>
      <c r="F85" s="346" t="inlineStr">
        <is>
          <t>Перегородки из влагостойких ПСП</t>
        </is>
      </c>
      <c r="G85" s="349" t="inlineStr">
        <is>
          <t>Корпус 5</t>
        </is>
      </c>
      <c r="H85" s="349" t="n"/>
      <c r="I85" s="349" t="n"/>
      <c r="J85" s="439" t="n"/>
      <c r="K85" s="351" t="inlineStr">
        <is>
          <t>Скоба С1</t>
        </is>
      </c>
      <c r="L85" s="349" t="inlineStr">
        <is>
          <t>шт</t>
        </is>
      </c>
      <c r="M85" s="429" t="n">
        <v>0</v>
      </c>
      <c r="N85" s="429">
        <f>W85</f>
        <v/>
      </c>
      <c r="O85" s="349" t="n">
        <v>0</v>
      </c>
      <c r="P85" s="349" t="n">
        <v>0</v>
      </c>
      <c r="Q85" s="429">
        <f>N85*V85+P85</f>
        <v/>
      </c>
      <c r="R85" s="349" t="inlineStr">
        <is>
          <t>шт</t>
        </is>
      </c>
      <c r="S85" s="349" t="n"/>
      <c r="T85" s="349" t="n"/>
      <c r="U85" s="346" t="inlineStr">
        <is>
          <t>Материал верхнего крепления блоков СВ-2.2 к перекрытию (узел Е1)</t>
        </is>
      </c>
      <c r="V85" s="349" t="n">
        <v>1</v>
      </c>
      <c r="W85" s="0" t="n">
        <v>0</v>
      </c>
    </row>
    <row r="86" s="1227">
      <c r="A86" s="349" t="inlineStr">
        <is>
          <t>мат.</t>
        </is>
      </c>
      <c r="B86" s="349" t="inlineStr">
        <is>
          <t>13АВ-РД-АР1.1-К5</t>
        </is>
      </c>
      <c r="C86" s="379" t="n">
        <v>45992</v>
      </c>
      <c r="D86" s="349" t="inlineStr">
        <is>
          <t>Кладка</t>
        </is>
      </c>
      <c r="E86" s="349" t="n"/>
      <c r="F86" s="346" t="inlineStr">
        <is>
          <t>Перегородки из влагостойких ПСП</t>
        </is>
      </c>
      <c r="G86" s="349" t="inlineStr">
        <is>
          <t>Корпус 5</t>
        </is>
      </c>
      <c r="H86" s="349" t="n"/>
      <c r="I86" s="349" t="n"/>
      <c r="J86" s="439" t="n"/>
      <c r="K86" s="351" t="inlineStr">
        <is>
          <t>Шуруп самонарезающий длиной 35 мм</t>
        </is>
      </c>
      <c r="L86" s="349" t="inlineStr">
        <is>
          <t>шт</t>
        </is>
      </c>
      <c r="M86" s="429" t="n">
        <v>0</v>
      </c>
      <c r="N86" s="429">
        <f>W86</f>
        <v/>
      </c>
      <c r="O86" s="349" t="n">
        <v>0</v>
      </c>
      <c r="P86" s="349" t="n">
        <v>0</v>
      </c>
      <c r="Q86" s="429">
        <f>N86*V86+P86</f>
        <v/>
      </c>
      <c r="R86" s="349" t="inlineStr">
        <is>
          <t>шт</t>
        </is>
      </c>
      <c r="S86" s="349" t="n"/>
      <c r="T86" s="349" t="n"/>
      <c r="U86" s="346" t="inlineStr">
        <is>
          <t>Материал верхнего крепления блоков СВ-2.2 к перекрытию (узел Е1)</t>
        </is>
      </c>
      <c r="V86" s="349" t="n">
        <v>1</v>
      </c>
      <c r="W86" s="0" t="n">
        <v>0</v>
      </c>
    </row>
    <row r="87" s="1227">
      <c r="A87" s="349" t="inlineStr">
        <is>
          <t>мат.</t>
        </is>
      </c>
      <c r="B87" s="349" t="inlineStr">
        <is>
          <t>13АВ-РД-АР1.1-К5</t>
        </is>
      </c>
      <c r="C87" s="379" t="n">
        <v>45992</v>
      </c>
      <c r="D87" s="349" t="inlineStr">
        <is>
          <t>Кладка</t>
        </is>
      </c>
      <c r="E87" s="349" t="n"/>
      <c r="F87" s="346" t="inlineStr">
        <is>
          <t>Перегородки из влагостойких ПСП</t>
        </is>
      </c>
      <c r="G87" s="349" t="inlineStr">
        <is>
          <t>Корпус 5</t>
        </is>
      </c>
      <c r="H87" s="349" t="n"/>
      <c r="I87" s="349" t="n"/>
      <c r="J87" s="439" t="n"/>
      <c r="K87" s="351" t="inlineStr">
        <is>
          <t>Дюбель гвоздь 6х40</t>
        </is>
      </c>
      <c r="L87" s="349" t="inlineStr">
        <is>
          <t>шт</t>
        </is>
      </c>
      <c r="M87" s="429" t="n">
        <v>0</v>
      </c>
      <c r="N87" s="429">
        <f>W87</f>
        <v/>
      </c>
      <c r="O87" s="349" t="n">
        <v>0</v>
      </c>
      <c r="P87" s="349" t="n">
        <v>0</v>
      </c>
      <c r="Q87" s="429">
        <f>N87*V87+P87</f>
        <v/>
      </c>
      <c r="R87" s="349" t="inlineStr">
        <is>
          <t>шт</t>
        </is>
      </c>
      <c r="S87" s="349" t="n"/>
      <c r="T87" s="349" t="n"/>
      <c r="U87" s="346" t="inlineStr">
        <is>
          <t>Материал верхнего крепления блоков СВ-2.2 к перекрытию (узел Е1)</t>
        </is>
      </c>
      <c r="V87" s="349" t="n">
        <v>1</v>
      </c>
      <c r="W87" s="0" t="n">
        <v>0</v>
      </c>
    </row>
    <row r="88" s="1227">
      <c r="A88" s="349" t="inlineStr">
        <is>
          <t>мат.</t>
        </is>
      </c>
      <c r="B88" s="349" t="inlineStr">
        <is>
          <t>13АВ-РД-АР1.1-К5</t>
        </is>
      </c>
      <c r="C88" s="379" t="n">
        <v>45992</v>
      </c>
      <c r="D88" s="349" t="inlineStr">
        <is>
          <t>Кладка</t>
        </is>
      </c>
      <c r="E88" s="349" t="n"/>
      <c r="F88" s="346" t="inlineStr">
        <is>
          <t>Перемычки перегородок из ПСП</t>
        </is>
      </c>
      <c r="G88" s="349" t="inlineStr">
        <is>
          <t>Корпус 5</t>
        </is>
      </c>
      <c r="H88" s="349" t="n"/>
      <c r="I88" s="349" t="n"/>
      <c r="J88" s="439" t="n"/>
      <c r="K88" s="351" t="inlineStr">
        <is>
          <t>Анкер-шпилька Hilti HST M 10х100</t>
        </is>
      </c>
      <c r="L88" s="349" t="inlineStr">
        <is>
          <t>шт</t>
        </is>
      </c>
      <c r="M88" s="429">
        <f>61+14+4</f>
        <v/>
      </c>
      <c r="N88" s="429">
        <f>61+14+4</f>
        <v/>
      </c>
      <c r="O88" s="349" t="n"/>
      <c r="P88" s="349" t="n"/>
      <c r="Q88" s="429" t="n"/>
      <c r="R88" s="349" t="n"/>
      <c r="S88" s="349" t="n"/>
      <c r="T88" s="349" t="n"/>
      <c r="U88" s="349" t="n"/>
      <c r="V88" s="349" t="n"/>
    </row>
    <row r="89" s="1227">
      <c r="A89" s="349" t="inlineStr">
        <is>
          <t>мат.</t>
        </is>
      </c>
      <c r="B89" s="349" t="inlineStr">
        <is>
          <t>13АВ-РД-АР1.1-К5</t>
        </is>
      </c>
      <c r="C89" s="379" t="n">
        <v>45992</v>
      </c>
      <c r="D89" s="349" t="inlineStr">
        <is>
          <t>Кладка</t>
        </is>
      </c>
      <c r="E89" s="349" t="n"/>
      <c r="F89" s="346" t="inlineStr">
        <is>
          <t>Перемычки перегородок из ПСП</t>
        </is>
      </c>
      <c r="G89" s="349" t="inlineStr">
        <is>
          <t>Корпус 5</t>
        </is>
      </c>
      <c r="H89" s="349" t="n"/>
      <c r="I89" s="349" t="n"/>
      <c r="J89" s="439" t="n"/>
      <c r="K89" s="351" t="inlineStr">
        <is>
          <t>Уголок 40х4</t>
        </is>
      </c>
      <c r="L89" s="349" t="inlineStr">
        <is>
          <t>т</t>
        </is>
      </c>
      <c r="M89" s="429">
        <f>(1057+56.144+24.2)/1000</f>
        <v/>
      </c>
      <c r="N89" s="429">
        <f>(1057+56.144+24.2)/1000</f>
        <v/>
      </c>
      <c r="O89" s="349" t="n"/>
      <c r="P89" s="349" t="n"/>
      <c r="Q89" s="429">
        <f>(1057+56.144+24.2)/1000</f>
        <v/>
      </c>
      <c r="R89" s="349" t="inlineStr">
        <is>
          <t>т</t>
        </is>
      </c>
      <c r="S89" s="349" t="n"/>
      <c r="T89" s="349" t="n"/>
      <c r="U89" s="349" t="inlineStr">
        <is>
          <t>ПР-6 156 шт
ПР-7 -8 шт
ПР-8 -4 шт</t>
        </is>
      </c>
      <c r="V89" s="349" t="n"/>
    </row>
    <row r="90" s="1227">
      <c r="A90" s="349" t="inlineStr">
        <is>
          <t>мат.</t>
        </is>
      </c>
      <c r="B90" s="349" t="inlineStr">
        <is>
          <t>13АВ-РД-АР1.1-К5</t>
        </is>
      </c>
      <c r="C90" s="379" t="n">
        <v>45992</v>
      </c>
      <c r="D90" s="349" t="inlineStr">
        <is>
          <t>Кладка</t>
        </is>
      </c>
      <c r="E90" s="349" t="n"/>
      <c r="F90" s="346" t="inlineStr">
        <is>
          <t>Перемычки перегородок из ПСП</t>
        </is>
      </c>
      <c r="G90" s="349" t="inlineStr">
        <is>
          <t>Корпус 5</t>
        </is>
      </c>
      <c r="H90" s="349" t="n"/>
      <c r="I90" s="349" t="n"/>
      <c r="J90" s="439" t="n"/>
      <c r="K90" s="351" t="inlineStr">
        <is>
          <t>Крепление плит ПСП к жб стенам</t>
        </is>
      </c>
      <c r="L90" s="349" t="inlineStr">
        <is>
          <t>м.п.</t>
        </is>
      </c>
      <c r="M90" s="429" t="n">
        <v>0</v>
      </c>
      <c r="N90" s="429">
        <f>W90</f>
        <v/>
      </c>
      <c r="O90" s="349" t="n">
        <v>0</v>
      </c>
      <c r="P90" s="349" t="n">
        <v>0</v>
      </c>
      <c r="Q90" s="429">
        <f>N90*V90+P90</f>
        <v/>
      </c>
      <c r="R90" s="349" t="inlineStr">
        <is>
          <t>м.п.</t>
        </is>
      </c>
      <c r="S90" s="349" t="n"/>
      <c r="T90" s="349" t="n"/>
      <c r="U90" s="349" t="inlineStr">
        <is>
          <t>Узел В</t>
        </is>
      </c>
      <c r="V90" s="349" t="n"/>
      <c r="W90" s="0" t="n">
        <v>0</v>
      </c>
    </row>
    <row r="91" s="1227">
      <c r="A91" s="349" t="inlineStr">
        <is>
          <t>мат.</t>
        </is>
      </c>
      <c r="B91" s="349" t="inlineStr">
        <is>
          <t>13АВ-РД-АР1.1-К5</t>
        </is>
      </c>
      <c r="C91" s="379" t="n">
        <v>45992</v>
      </c>
      <c r="D91" s="349" t="inlineStr">
        <is>
          <t>Кладка</t>
        </is>
      </c>
      <c r="E91" s="349" t="n"/>
      <c r="F91" s="346" t="inlineStr">
        <is>
          <t>Перегородки из влагостойких ПСП</t>
        </is>
      </c>
      <c r="G91" s="349" t="inlineStr">
        <is>
          <t>Корпус 5</t>
        </is>
      </c>
      <c r="H91" s="349" t="n"/>
      <c r="I91" s="349" t="n"/>
      <c r="J91" s="439" t="n"/>
      <c r="K91" s="351" t="inlineStr">
        <is>
          <t>Гипсовый клей</t>
        </is>
      </c>
      <c r="L91" s="349" t="inlineStr">
        <is>
          <t>м3</t>
        </is>
      </c>
      <c r="M91" s="429" t="n">
        <v>0</v>
      </c>
      <c r="N91" s="429">
        <f>W91</f>
        <v/>
      </c>
      <c r="O91" s="349" t="n">
        <v>0</v>
      </c>
      <c r="P91" s="349" t="n">
        <v>0</v>
      </c>
      <c r="Q91" s="429">
        <f>N91*V91+P91</f>
        <v/>
      </c>
      <c r="R91" s="349" t="inlineStr">
        <is>
          <t>м3</t>
        </is>
      </c>
      <c r="S91" s="349" t="n"/>
      <c r="T91" s="349" t="n"/>
      <c r="U91" s="346" t="inlineStr">
        <is>
          <t>Материал крепления блоков СВ-2.2 к стенам (узел В)</t>
        </is>
      </c>
      <c r="V91" s="349" t="n">
        <v>1</v>
      </c>
      <c r="W91" s="0" t="n">
        <v>0</v>
      </c>
    </row>
    <row r="92" s="1227">
      <c r="A92" s="349" t="inlineStr">
        <is>
          <t>мат.</t>
        </is>
      </c>
      <c r="B92" s="349" t="inlineStr">
        <is>
          <t>13АВ-РД-АР1.1-К5</t>
        </is>
      </c>
      <c r="C92" s="379" t="n">
        <v>45992</v>
      </c>
      <c r="D92" s="349" t="inlineStr">
        <is>
          <t>Кладка</t>
        </is>
      </c>
      <c r="E92" s="349" t="n"/>
      <c r="F92" s="346" t="inlineStr">
        <is>
          <t>Перегородки из влагостойких ПСП</t>
        </is>
      </c>
      <c r="G92" s="349" t="inlineStr">
        <is>
          <t>Корпус 5</t>
        </is>
      </c>
      <c r="H92" s="349" t="n"/>
      <c r="I92" s="349" t="n"/>
      <c r="J92" s="439" t="n"/>
      <c r="K92" s="351" t="inlineStr">
        <is>
          <t>Скоба С1</t>
        </is>
      </c>
      <c r="L92" s="349" t="inlineStr">
        <is>
          <t>шт</t>
        </is>
      </c>
      <c r="M92" s="429" t="n">
        <v>0</v>
      </c>
      <c r="N92" s="429">
        <f>W92</f>
        <v/>
      </c>
      <c r="O92" s="349" t="n">
        <v>0</v>
      </c>
      <c r="P92" s="349" t="n">
        <v>0</v>
      </c>
      <c r="Q92" s="429">
        <f>N92*V92+P92</f>
        <v/>
      </c>
      <c r="R92" s="349" t="inlineStr">
        <is>
          <t>шт</t>
        </is>
      </c>
      <c r="S92" s="349" t="n"/>
      <c r="T92" s="349" t="n"/>
      <c r="U92" s="346" t="inlineStr">
        <is>
          <t>Материал крепления блоков СВ-2.2 к стенам (узел В)</t>
        </is>
      </c>
      <c r="V92" s="349" t="n">
        <v>1</v>
      </c>
      <c r="W92" s="0" t="n">
        <v>0</v>
      </c>
    </row>
    <row r="93" s="1227">
      <c r="A93" s="349" t="inlineStr">
        <is>
          <t>мат.</t>
        </is>
      </c>
      <c r="B93" s="349" t="inlineStr">
        <is>
          <t>13АВ-РД-АР1.1-К5</t>
        </is>
      </c>
      <c r="C93" s="379" t="n">
        <v>45992</v>
      </c>
      <c r="D93" s="349" t="inlineStr">
        <is>
          <t>Кладка</t>
        </is>
      </c>
      <c r="E93" s="349" t="n"/>
      <c r="F93" s="346" t="inlineStr">
        <is>
          <t>Перегородки из влагостойких ПСП</t>
        </is>
      </c>
      <c r="G93" s="349" t="inlineStr">
        <is>
          <t>Корпус 5</t>
        </is>
      </c>
      <c r="H93" s="349" t="n"/>
      <c r="I93" s="349" t="n"/>
      <c r="J93" s="439" t="n"/>
      <c r="K93" s="351" t="inlineStr">
        <is>
          <t>Шуруп самонарезающий длиной 35 мм</t>
        </is>
      </c>
      <c r="L93" s="349" t="inlineStr">
        <is>
          <t>шт</t>
        </is>
      </c>
      <c r="M93" s="429" t="n">
        <v>0</v>
      </c>
      <c r="N93" s="429">
        <f>W93</f>
        <v/>
      </c>
      <c r="O93" s="349" t="n">
        <v>0</v>
      </c>
      <c r="P93" s="349" t="n">
        <v>0</v>
      </c>
      <c r="Q93" s="429">
        <f>N93*V93+P93</f>
        <v/>
      </c>
      <c r="R93" s="349" t="inlineStr">
        <is>
          <t>шт</t>
        </is>
      </c>
      <c r="S93" s="349" t="n"/>
      <c r="T93" s="349" t="n"/>
      <c r="U93" s="346" t="inlineStr">
        <is>
          <t>Материал крепления блоков СВ-2.2 к стенам (узел В)</t>
        </is>
      </c>
      <c r="V93" s="349" t="n">
        <v>1</v>
      </c>
      <c r="W93" s="0" t="n">
        <v>0</v>
      </c>
    </row>
    <row r="94" s="1227">
      <c r="A94" s="349" t="inlineStr">
        <is>
          <t>мат.</t>
        </is>
      </c>
      <c r="B94" s="349" t="inlineStr">
        <is>
          <t>13АВ-РД-АР1.1-К5</t>
        </is>
      </c>
      <c r="C94" s="379" t="n">
        <v>45992</v>
      </c>
      <c r="D94" s="349" t="inlineStr">
        <is>
          <t>Кладка</t>
        </is>
      </c>
      <c r="E94" s="349" t="n"/>
      <c r="F94" s="346" t="inlineStr">
        <is>
          <t>Перегородки из влагостойких ПСП</t>
        </is>
      </c>
      <c r="G94" s="349" t="inlineStr">
        <is>
          <t>Корпус 5</t>
        </is>
      </c>
      <c r="H94" s="349" t="n"/>
      <c r="I94" s="349" t="n"/>
      <c r="J94" s="439" t="n"/>
      <c r="K94" s="351" t="inlineStr">
        <is>
          <t>Дюбель гвоздь 6х40</t>
        </is>
      </c>
      <c r="L94" s="349" t="inlineStr">
        <is>
          <t>шт</t>
        </is>
      </c>
      <c r="M94" s="429" t="n">
        <v>0</v>
      </c>
      <c r="N94" s="429">
        <f>W94</f>
        <v/>
      </c>
      <c r="O94" s="349" t="n">
        <v>0</v>
      </c>
      <c r="P94" s="349" t="n">
        <v>0</v>
      </c>
      <c r="Q94" s="429">
        <f>N94*V94+P94</f>
        <v/>
      </c>
      <c r="R94" s="349" t="inlineStr">
        <is>
          <t>шт</t>
        </is>
      </c>
      <c r="S94" s="349" t="n"/>
      <c r="T94" s="349" t="n"/>
      <c r="U94" s="346" t="inlineStr">
        <is>
          <t>Материал крепления блоков СВ-2.2 к стенам (узел В)</t>
        </is>
      </c>
      <c r="V94" s="349" t="n">
        <v>1</v>
      </c>
      <c r="W94" s="0" t="n">
        <v>0</v>
      </c>
    </row>
    <row r="95">
      <c r="A95" s="349" t="inlineStr">
        <is>
          <t>мат.</t>
        </is>
      </c>
      <c r="B95" s="349" t="inlineStr">
        <is>
          <t>13АВ-РД-АР1.1-К5</t>
        </is>
      </c>
      <c r="C95" s="379" t="n">
        <v>45992</v>
      </c>
      <c r="D95" s="349" t="inlineStr">
        <is>
          <t>Кладка</t>
        </is>
      </c>
      <c r="E95" s="349" t="inlineStr">
        <is>
          <t>БАЗА</t>
        </is>
      </c>
      <c r="F95" s="346" t="inlineStr">
        <is>
          <t>Перегородка из бетонных камней толщиной 190мм</t>
        </is>
      </c>
      <c r="G95" s="349" t="inlineStr">
        <is>
          <t>Корпус 5</t>
        </is>
      </c>
      <c r="H95" s="349" t="n"/>
      <c r="I95" s="349" t="inlineStr">
        <is>
          <t>м3</t>
        </is>
      </c>
      <c r="J95" s="427" t="n"/>
      <c r="K95" s="428" t="inlineStr">
        <is>
          <t>Камень бетонный полнотелый, толщиной 190мм</t>
        </is>
      </c>
      <c r="L95" s="349" t="inlineStr">
        <is>
          <t>м3</t>
        </is>
      </c>
      <c r="M95" s="429" t="n">
        <v>22.34</v>
      </c>
      <c r="N95" s="430">
        <f>W95</f>
        <v/>
      </c>
      <c r="O95" s="349" t="n">
        <v>0</v>
      </c>
      <c r="P95" s="349" t="n">
        <v>0</v>
      </c>
      <c r="Q95" s="429">
        <f>N95*V95+P95</f>
        <v/>
      </c>
      <c r="R95" s="349" t="inlineStr">
        <is>
          <t>м3</t>
        </is>
      </c>
      <c r="S95" s="349" t="n"/>
      <c r="T95" s="349" t="n"/>
      <c r="U95" s="346" t="inlineStr">
        <is>
          <t>СВ-3.1
(Корректный объем 16,14, остаток 4.4 это кровля)</t>
        </is>
      </c>
      <c r="V95" s="349" t="n">
        <v>1</v>
      </c>
      <c r="W95" s="0" t="n">
        <v>3.116</v>
      </c>
    </row>
    <row r="96" s="1227">
      <c r="A96" s="349" t="inlineStr">
        <is>
          <t>мат.</t>
        </is>
      </c>
      <c r="B96" s="349" t="inlineStr">
        <is>
          <t>13АВ-РД-АР1.1-К5</t>
        </is>
      </c>
      <c r="C96" s="379" t="n">
        <v>45992</v>
      </c>
      <c r="D96" s="349" t="inlineStr">
        <is>
          <t>Кладка</t>
        </is>
      </c>
      <c r="E96" s="349" t="n"/>
      <c r="F96" s="346" t="inlineStr">
        <is>
          <t>Перегородка из бетонных камней толщиной 190мм</t>
        </is>
      </c>
      <c r="G96" s="349" t="inlineStr">
        <is>
          <t>Корпус 5</t>
        </is>
      </c>
      <c r="H96" s="349" t="n"/>
      <c r="I96" s="349" t="n"/>
      <c r="J96" s="439" t="n"/>
      <c r="K96" s="351" t="inlineStr">
        <is>
          <t>Базальтовая сетка для армирования кладки</t>
        </is>
      </c>
      <c r="L96" s="349" t="inlineStr">
        <is>
          <t>м2</t>
        </is>
      </c>
      <c r="M96" s="429" t="n">
        <v>0</v>
      </c>
      <c r="N96" s="429">
        <f>W96</f>
        <v/>
      </c>
      <c r="O96" s="349" t="n">
        <v>0</v>
      </c>
      <c r="P96" s="349" t="n">
        <v>0</v>
      </c>
      <c r="Q96" s="429">
        <f>N96*V96+P96</f>
        <v/>
      </c>
      <c r="R96" s="349" t="inlineStr">
        <is>
          <t>м2</t>
        </is>
      </c>
      <c r="S96" s="349" t="n"/>
      <c r="T96" s="349" t="n"/>
      <c r="U96" s="349" t="n"/>
      <c r="V96" s="349" t="n">
        <v>1</v>
      </c>
      <c r="W96" s="0" t="n">
        <v>0</v>
      </c>
    </row>
    <row r="97" s="1227">
      <c r="A97" s="349" t="inlineStr">
        <is>
          <t>мат.</t>
        </is>
      </c>
      <c r="B97" s="349" t="inlineStr">
        <is>
          <t>13АВ-РД-АР1.1-К5</t>
        </is>
      </c>
      <c r="C97" s="379" t="n">
        <v>45992</v>
      </c>
      <c r="D97" s="349" t="inlineStr">
        <is>
          <t>Кладка</t>
        </is>
      </c>
      <c r="E97" s="349" t="n"/>
      <c r="F97" s="346" t="inlineStr">
        <is>
          <t>Перегородка из бетонных камней толщиной 190мм</t>
        </is>
      </c>
      <c r="G97" s="349" t="inlineStr">
        <is>
          <t>Корпус 5</t>
        </is>
      </c>
      <c r="H97" s="349" t="n"/>
      <c r="I97" s="349" t="n"/>
      <c r="J97" s="439" t="n"/>
      <c r="K97" s="351" t="inlineStr">
        <is>
          <t>Цементно-песчаный раствор М100</t>
        </is>
      </c>
      <c r="L97" s="349" t="inlineStr">
        <is>
          <t>м3</t>
        </is>
      </c>
      <c r="M97" s="429" t="n">
        <v>0</v>
      </c>
      <c r="N97" s="429">
        <f>W97</f>
        <v/>
      </c>
      <c r="O97" s="349" t="n">
        <v>0</v>
      </c>
      <c r="P97" s="349" t="n">
        <v>0</v>
      </c>
      <c r="Q97" s="429">
        <f>N97*V97+P97</f>
        <v/>
      </c>
      <c r="R97" s="349" t="inlineStr">
        <is>
          <t>м3</t>
        </is>
      </c>
      <c r="S97" s="349" t="n"/>
      <c r="T97" s="349" t="n"/>
      <c r="U97" s="349" t="n"/>
      <c r="V97" s="349" t="n">
        <v>1</v>
      </c>
      <c r="W97" s="0" t="n">
        <v>0</v>
      </c>
    </row>
    <row r="98" s="1227">
      <c r="A98" s="349" t="n"/>
      <c r="B98" s="349" t="inlineStr">
        <is>
          <t>13АВ-РД-АР1.1-К5</t>
        </is>
      </c>
      <c r="C98" s="379" t="n">
        <v>45992</v>
      </c>
      <c r="D98" s="349" t="inlineStr">
        <is>
          <t>Кладка</t>
        </is>
      </c>
      <c r="E98" s="349" t="n"/>
      <c r="F98" s="346" t="inlineStr">
        <is>
          <t>Перегородка из бетонных камней толщиной 190мм</t>
        </is>
      </c>
      <c r="G98" s="349" t="inlineStr">
        <is>
          <t>Корпус 5</t>
        </is>
      </c>
      <c r="H98" s="349" t="n"/>
      <c r="I98" s="349" t="n"/>
      <c r="J98" s="439" t="n"/>
      <c r="K98" s="351" t="inlineStr">
        <is>
          <t>Примыкание к плите перекрытия</t>
        </is>
      </c>
      <c r="L98" s="349" t="inlineStr">
        <is>
          <t>м.п.</t>
        </is>
      </c>
      <c r="M98" s="429" t="n">
        <v>0</v>
      </c>
      <c r="N98" s="430">
        <f>W98</f>
        <v/>
      </c>
      <c r="O98" s="349" t="n">
        <v>0</v>
      </c>
      <c r="P98" s="349" t="n">
        <v>0</v>
      </c>
      <c r="Q98" s="429">
        <f>N98*V98+P98</f>
        <v/>
      </c>
      <c r="R98" s="349" t="inlineStr">
        <is>
          <t>м.п.</t>
        </is>
      </c>
      <c r="S98" s="349" t="n"/>
      <c r="T98" s="349" t="n"/>
      <c r="U98" s="349" t="n"/>
      <c r="V98" s="349" t="n">
        <v>1</v>
      </c>
      <c r="W98" s="0" t="n">
        <v>0</v>
      </c>
    </row>
    <row r="99" s="1227">
      <c r="A99" s="349" t="inlineStr">
        <is>
          <t>мат.</t>
        </is>
      </c>
      <c r="B99" s="349" t="inlineStr">
        <is>
          <t>13АВ-РД-АР1.1-К5</t>
        </is>
      </c>
      <c r="C99" s="379" t="n">
        <v>45992</v>
      </c>
      <c r="D99" s="349" t="inlineStr">
        <is>
          <t>Кладка</t>
        </is>
      </c>
      <c r="E99" s="349" t="n"/>
      <c r="F99" s="346" t="inlineStr">
        <is>
          <t>Перегородка из бетонных камней толщиной 190мм</t>
        </is>
      </c>
      <c r="G99" s="349" t="inlineStr">
        <is>
          <t>Корпус 5</t>
        </is>
      </c>
      <c r="H99" s="349" t="n"/>
      <c r="I99" s="349" t="n"/>
      <c r="J99" s="439" t="n"/>
      <c r="K99" s="351" t="inlineStr">
        <is>
          <t>Перфорированная оцинкованная полоса 0,75х20 мм</t>
        </is>
      </c>
      <c r="L99" s="349" t="inlineStr">
        <is>
          <t>м.п.</t>
        </is>
      </c>
      <c r="M99" s="429" t="n">
        <v>0</v>
      </c>
      <c r="N99" s="429">
        <f>W99</f>
        <v/>
      </c>
      <c r="O99" s="349" t="n">
        <v>0</v>
      </c>
      <c r="P99" s="349" t="n">
        <v>0</v>
      </c>
      <c r="Q99" s="429">
        <f>N99*V99+P99</f>
        <v/>
      </c>
      <c r="R99" s="349" t="inlineStr">
        <is>
          <t>м.п.</t>
        </is>
      </c>
      <c r="S99" s="349" t="n"/>
      <c r="T99" s="349" t="n"/>
      <c r="U99" s="349" t="n"/>
      <c r="V99" s="349" t="n">
        <v>1</v>
      </c>
      <c r="W99" s="0" t="n">
        <v>0</v>
      </c>
    </row>
    <row r="100" s="1227">
      <c r="A100" s="349" t="inlineStr">
        <is>
          <t>мат.</t>
        </is>
      </c>
      <c r="B100" s="349" t="inlineStr">
        <is>
          <t>13АВ-РД-АР1.1-К5</t>
        </is>
      </c>
      <c r="C100" s="379" t="n">
        <v>45992</v>
      </c>
      <c r="D100" s="349" t="inlineStr">
        <is>
          <t>Кладка</t>
        </is>
      </c>
      <c r="E100" s="349" t="n"/>
      <c r="F100" s="346" t="inlineStr">
        <is>
          <t>Перегородка из бетонных камней толщиной 190мм</t>
        </is>
      </c>
      <c r="G100" s="349" t="inlineStr">
        <is>
          <t>Корпус 5</t>
        </is>
      </c>
      <c r="H100" s="349" t="n"/>
      <c r="I100" s="349" t="n"/>
      <c r="J100" s="439" t="n"/>
      <c r="K100" s="351" t="inlineStr">
        <is>
          <t>Минераловатные плиты средней жесткости р=37-45 кг/м³, λ=0,039 Вт/м°С</t>
        </is>
      </c>
      <c r="L100" s="349" t="inlineStr">
        <is>
          <t>м3</t>
        </is>
      </c>
      <c r="M100" s="429" t="n">
        <v>0</v>
      </c>
      <c r="N100" s="429">
        <f>W100</f>
        <v/>
      </c>
      <c r="O100" s="349" t="n">
        <v>0</v>
      </c>
      <c r="P100" s="349" t="n">
        <v>0</v>
      </c>
      <c r="Q100" s="429">
        <f>N100*V100+P100</f>
        <v/>
      </c>
      <c r="R100" s="349" t="inlineStr">
        <is>
          <t>м3</t>
        </is>
      </c>
      <c r="S100" s="349" t="n"/>
      <c r="T100" s="349" t="n"/>
      <c r="U100" s="349" t="n"/>
      <c r="V100" s="349" t="n">
        <v>1</v>
      </c>
      <c r="W100" s="0" t="n">
        <v>0</v>
      </c>
    </row>
    <row r="101" s="1227">
      <c r="A101" s="349" t="inlineStr">
        <is>
          <t>мат.</t>
        </is>
      </c>
      <c r="B101" s="349" t="inlineStr">
        <is>
          <t>13АВ-РД-АР1.1-К5</t>
        </is>
      </c>
      <c r="C101" s="379" t="n">
        <v>45992</v>
      </c>
      <c r="D101" s="349" t="inlineStr">
        <is>
          <t>Кладка</t>
        </is>
      </c>
      <c r="E101" s="349" t="n"/>
      <c r="F101" s="346" t="inlineStr">
        <is>
          <t>Перегородка из бетонных камней толщиной 190мм</t>
        </is>
      </c>
      <c r="G101" s="349" t="inlineStr">
        <is>
          <t>Корпус 5</t>
        </is>
      </c>
      <c r="H101" s="349" t="n"/>
      <c r="I101" s="349" t="n"/>
      <c r="J101" s="439" t="n"/>
      <c r="K101" s="351" t="inlineStr">
        <is>
          <t>Цементно-песчаный раствор М100</t>
        </is>
      </c>
      <c r="L101" s="349" t="inlineStr">
        <is>
          <t>м3</t>
        </is>
      </c>
      <c r="M101" s="429" t="n">
        <v>0</v>
      </c>
      <c r="N101" s="429">
        <f>W101</f>
        <v/>
      </c>
      <c r="O101" s="349" t="n">
        <v>0</v>
      </c>
      <c r="P101" s="349" t="n">
        <v>0</v>
      </c>
      <c r="Q101" s="429">
        <f>N101*V101+P101</f>
        <v/>
      </c>
      <c r="R101" s="349" t="inlineStr">
        <is>
          <t>м3</t>
        </is>
      </c>
      <c r="S101" s="349" t="n"/>
      <c r="T101" s="349" t="n"/>
      <c r="U101" s="349" t="n"/>
      <c r="V101" s="349" t="n">
        <v>1</v>
      </c>
      <c r="W101" s="0" t="n">
        <v>0</v>
      </c>
    </row>
    <row r="102" s="1227">
      <c r="A102" s="349" t="inlineStr">
        <is>
          <t>мат.</t>
        </is>
      </c>
      <c r="B102" s="349" t="inlineStr">
        <is>
          <t>13АВ-РД-АР1.1-К5</t>
        </is>
      </c>
      <c r="C102" s="379" t="n">
        <v>45992</v>
      </c>
      <c r="D102" s="349" t="inlineStr">
        <is>
          <t>Кладка</t>
        </is>
      </c>
      <c r="E102" s="349" t="n"/>
      <c r="F102" s="346" t="inlineStr">
        <is>
          <t>Перегородка из бетонных камней толщиной 190мм</t>
        </is>
      </c>
      <c r="G102" s="349" t="inlineStr">
        <is>
          <t>Корпус 5</t>
        </is>
      </c>
      <c r="H102" s="349" t="n"/>
      <c r="I102" s="349" t="n"/>
      <c r="J102" s="439" t="n"/>
      <c r="K102" s="351" t="inlineStr">
        <is>
          <t>Дюбель гвоздь 6х40</t>
        </is>
      </c>
      <c r="L102" s="349" t="inlineStr">
        <is>
          <t>шт</t>
        </is>
      </c>
      <c r="M102" s="429" t="n">
        <v>0</v>
      </c>
      <c r="N102" s="429">
        <f>W102</f>
        <v/>
      </c>
      <c r="O102" s="349" t="n">
        <v>0</v>
      </c>
      <c r="P102" s="349" t="n">
        <v>0</v>
      </c>
      <c r="Q102" s="429">
        <f>N102*V102+P102</f>
        <v/>
      </c>
      <c r="R102" s="349" t="inlineStr">
        <is>
          <t>шт</t>
        </is>
      </c>
      <c r="S102" s="349" t="n"/>
      <c r="T102" s="349" t="n"/>
      <c r="U102" s="349" t="n"/>
      <c r="V102" s="349" t="n">
        <v>1</v>
      </c>
      <c r="W102" s="0" t="n">
        <v>0</v>
      </c>
    </row>
    <row r="103" s="1227">
      <c r="A103" s="349" t="inlineStr">
        <is>
          <t>мат.</t>
        </is>
      </c>
      <c r="B103" s="349" t="inlineStr">
        <is>
          <t>13АВ-РД-АР1.1-К5</t>
        </is>
      </c>
      <c r="C103" s="379" t="n">
        <v>45992</v>
      </c>
      <c r="D103" s="349" t="inlineStr">
        <is>
          <t>Кладка</t>
        </is>
      </c>
      <c r="E103" s="349" t="n"/>
      <c r="F103" s="346" t="inlineStr">
        <is>
          <t>Перемычки перегородки из бетонных камней толщиной 190мм</t>
        </is>
      </c>
      <c r="G103" s="349" t="inlineStr">
        <is>
          <t>Корпус 5</t>
        </is>
      </c>
      <c r="H103" s="349" t="n"/>
      <c r="I103" s="349" t="n"/>
      <c r="J103" s="439" t="n"/>
      <c r="K103" s="351" t="inlineStr">
        <is>
          <t xml:space="preserve">Балка бетонная 1ПБ14-1 REI180 </t>
        </is>
      </c>
      <c r="L103" s="349" t="inlineStr">
        <is>
          <t>шт</t>
        </is>
      </c>
      <c r="M103" s="429" t="n">
        <v>13</v>
      </c>
      <c r="N103" s="429" t="n">
        <v>13</v>
      </c>
      <c r="O103" s="349" t="n"/>
      <c r="P103" s="349" t="n"/>
      <c r="Q103" s="429" t="n">
        <v>13</v>
      </c>
      <c r="R103" s="349" t="inlineStr">
        <is>
          <t>шт</t>
        </is>
      </c>
      <c r="S103" s="349" t="n"/>
      <c r="T103" s="349" t="n"/>
      <c r="U103" s="349" t="inlineStr">
        <is>
          <t>ПР-11 - 13 шт
ПР-12 - 13 шт
ПР-13 - 1 шт
ПР-14 - 1 шт</t>
        </is>
      </c>
      <c r="V103" s="349" t="n"/>
    </row>
    <row r="104" s="1227">
      <c r="A104" s="349" t="inlineStr">
        <is>
          <t>мат.</t>
        </is>
      </c>
      <c r="B104" s="349" t="inlineStr">
        <is>
          <t>13АВ-РД-АР1.1-К5</t>
        </is>
      </c>
      <c r="C104" s="379" t="n">
        <v>45992</v>
      </c>
      <c r="D104" s="349" t="inlineStr">
        <is>
          <t>Кладка</t>
        </is>
      </c>
      <c r="E104" s="349" t="n"/>
      <c r="F104" s="346" t="inlineStr">
        <is>
          <t>Перемычки перегородки из бетонных камней толщиной 190мм</t>
        </is>
      </c>
      <c r="G104" s="349" t="inlineStr">
        <is>
          <t>Корпус 5</t>
        </is>
      </c>
      <c r="H104" s="349" t="n"/>
      <c r="I104" s="349" t="n"/>
      <c r="J104" s="439" t="n"/>
      <c r="K104" s="351" t="inlineStr">
        <is>
          <t>Балка бетонная 1ПБ17-1 REI180</t>
        </is>
      </c>
      <c r="L104" s="349" t="inlineStr">
        <is>
          <t>шт</t>
        </is>
      </c>
      <c r="M104" s="429" t="n">
        <v>13</v>
      </c>
      <c r="N104" s="429" t="n">
        <v>13</v>
      </c>
      <c r="O104" s="349" t="n"/>
      <c r="P104" s="349" t="n"/>
      <c r="Q104" s="429" t="n">
        <v>13</v>
      </c>
      <c r="R104" s="349" t="inlineStr">
        <is>
          <t>шт</t>
        </is>
      </c>
      <c r="S104" s="349" t="n"/>
      <c r="T104" s="349" t="n"/>
      <c r="U104" s="349" t="n"/>
      <c r="V104" s="349" t="n"/>
    </row>
    <row r="105" s="1227">
      <c r="A105" s="349" t="inlineStr">
        <is>
          <t>мат.</t>
        </is>
      </c>
      <c r="B105" s="349" t="inlineStr">
        <is>
          <t>13АВ-РД-АР1.1-К5</t>
        </is>
      </c>
      <c r="C105" s="379" t="n">
        <v>45992</v>
      </c>
      <c r="D105" s="349" t="inlineStr">
        <is>
          <t>Кладка</t>
        </is>
      </c>
      <c r="E105" s="349" t="n"/>
      <c r="F105" s="346" t="inlineStr">
        <is>
          <t>Перемычки перегородки из бетонных камней толщиной 190мм</t>
        </is>
      </c>
      <c r="G105" s="349" t="inlineStr">
        <is>
          <t>Корпус 5</t>
        </is>
      </c>
      <c r="H105" s="349" t="n"/>
      <c r="I105" s="349" t="n"/>
      <c r="J105" s="439" t="n"/>
      <c r="K105" s="351" t="inlineStr">
        <is>
          <t>Балка бетонная 1ПБ15-1</t>
        </is>
      </c>
      <c r="L105" s="349" t="inlineStr">
        <is>
          <t>шт</t>
        </is>
      </c>
      <c r="M105" s="429" t="n">
        <v>1</v>
      </c>
      <c r="N105" s="429" t="n">
        <v>1</v>
      </c>
      <c r="O105" s="349" t="n"/>
      <c r="P105" s="349" t="n"/>
      <c r="Q105" s="429" t="n">
        <v>1</v>
      </c>
      <c r="R105" s="349" t="inlineStr">
        <is>
          <t>шт</t>
        </is>
      </c>
      <c r="S105" s="349" t="n"/>
      <c r="T105" s="349" t="n"/>
      <c r="U105" s="349" t="n"/>
      <c r="V105" s="349" t="n"/>
    </row>
    <row r="106" s="1227">
      <c r="A106" s="349" t="inlineStr">
        <is>
          <t>мат.</t>
        </is>
      </c>
      <c r="B106" s="349" t="inlineStr">
        <is>
          <t>13АВ-РД-АР1.1-К5</t>
        </is>
      </c>
      <c r="C106" s="379" t="n">
        <v>45992</v>
      </c>
      <c r="D106" s="349" t="inlineStr">
        <is>
          <t>Кладка</t>
        </is>
      </c>
      <c r="E106" s="349" t="n"/>
      <c r="F106" s="346" t="inlineStr">
        <is>
          <t>Перемычки перегородки из бетонных камней толщиной 190мм</t>
        </is>
      </c>
      <c r="G106" s="349" t="inlineStr">
        <is>
          <t>Корпус 5</t>
        </is>
      </c>
      <c r="H106" s="349" t="n"/>
      <c r="I106" s="349" t="n"/>
      <c r="J106" s="439" t="n"/>
      <c r="K106" s="351" t="inlineStr">
        <is>
          <t>Балка бетонная 1ПБ18-1</t>
        </is>
      </c>
      <c r="L106" s="349" t="inlineStr">
        <is>
          <t>шт</t>
        </is>
      </c>
      <c r="M106" s="429" t="n">
        <v>1</v>
      </c>
      <c r="N106" s="429" t="n">
        <v>1</v>
      </c>
      <c r="O106" s="349" t="n"/>
      <c r="P106" s="349" t="n"/>
      <c r="Q106" s="429" t="n">
        <v>1</v>
      </c>
      <c r="R106" s="349" t="inlineStr">
        <is>
          <t>шт</t>
        </is>
      </c>
      <c r="S106" s="349" t="n"/>
      <c r="T106" s="349" t="n"/>
      <c r="U106" s="349" t="n"/>
      <c r="V106" s="349" t="n"/>
    </row>
    <row r="107" s="1227">
      <c r="A107" s="349" t="n"/>
      <c r="B107" s="349" t="inlineStr">
        <is>
          <t>13АВ-РД-АР1.1-К5</t>
        </is>
      </c>
      <c r="C107" s="379" t="n">
        <v>45992</v>
      </c>
      <c r="D107" s="349" t="inlineStr">
        <is>
          <t>Кладка</t>
        </is>
      </c>
      <c r="E107" s="349" t="n"/>
      <c r="F107" s="346" t="inlineStr">
        <is>
          <t>Перегородка из бетонных камней толщиной 190мм</t>
        </is>
      </c>
      <c r="G107" s="349" t="inlineStr">
        <is>
          <t>Корпус 5</t>
        </is>
      </c>
      <c r="H107" s="349" t="n"/>
      <c r="I107" s="349" t="n"/>
      <c r="J107" s="439" t="n"/>
      <c r="K107" s="351" t="inlineStr">
        <is>
          <t>Крепление каменных блоков к жб стенам</t>
        </is>
      </c>
      <c r="L107" s="349" t="inlineStr">
        <is>
          <t>м.п.</t>
        </is>
      </c>
      <c r="M107" s="429" t="n">
        <v>0</v>
      </c>
      <c r="N107" s="430">
        <f>W107</f>
        <v/>
      </c>
      <c r="O107" s="349" t="n">
        <v>0</v>
      </c>
      <c r="P107" s="349" t="n">
        <v>0</v>
      </c>
      <c r="Q107" s="429">
        <f>N107*V107+P107</f>
        <v/>
      </c>
      <c r="R107" s="349" t="inlineStr">
        <is>
          <t>м.п.</t>
        </is>
      </c>
      <c r="S107" s="349" t="n"/>
      <c r="T107" s="349" t="n"/>
      <c r="U107" s="349" t="n"/>
      <c r="V107" s="349" t="n">
        <v>1</v>
      </c>
      <c r="W107" s="0" t="n">
        <v>0</v>
      </c>
    </row>
    <row r="108" s="1227">
      <c r="A108" s="349" t="inlineStr">
        <is>
          <t>мат.</t>
        </is>
      </c>
      <c r="B108" s="349" t="inlineStr">
        <is>
          <t>13АВ-РД-АР1.1-К5</t>
        </is>
      </c>
      <c r="C108" s="379" t="n">
        <v>45992</v>
      </c>
      <c r="D108" s="349" t="inlineStr">
        <is>
          <t>Кладка</t>
        </is>
      </c>
      <c r="E108" s="349" t="n"/>
      <c r="F108" s="346" t="inlineStr">
        <is>
          <t>Перегородка из бетонных камней толщиной 190мм</t>
        </is>
      </c>
      <c r="G108" s="349" t="inlineStr">
        <is>
          <t>Корпус 5</t>
        </is>
      </c>
      <c r="H108" s="349" t="n"/>
      <c r="I108" s="349" t="n"/>
      <c r="J108" s="439" t="n"/>
      <c r="K108" s="351" t="inlineStr">
        <is>
          <t>Цементно-песчаный раствор М100</t>
        </is>
      </c>
      <c r="L108" s="349" t="inlineStr">
        <is>
          <t>м3</t>
        </is>
      </c>
      <c r="M108" s="429" t="n">
        <v>0</v>
      </c>
      <c r="N108" s="429">
        <f>W108</f>
        <v/>
      </c>
      <c r="O108" s="349" t="n">
        <v>0</v>
      </c>
      <c r="P108" s="349" t="n">
        <v>0</v>
      </c>
      <c r="Q108" s="429">
        <f>N108*V108+P108</f>
        <v/>
      </c>
      <c r="R108" s="349" t="inlineStr">
        <is>
          <t>м3</t>
        </is>
      </c>
      <c r="S108" s="349" t="n"/>
      <c r="T108" s="349" t="n"/>
      <c r="U108" s="349" t="n"/>
      <c r="V108" s="349" t="n">
        <v>1</v>
      </c>
      <c r="W108" s="0" t="n">
        <v>0</v>
      </c>
    </row>
    <row r="109" s="1227">
      <c r="A109" s="349" t="inlineStr">
        <is>
          <t>мат.</t>
        </is>
      </c>
      <c r="B109" s="349" t="inlineStr">
        <is>
          <t>13АВ-РД-АР1.1-К5</t>
        </is>
      </c>
      <c r="C109" s="379" t="n">
        <v>45992</v>
      </c>
      <c r="D109" s="349" t="inlineStr">
        <is>
          <t>Кладка</t>
        </is>
      </c>
      <c r="E109" s="349" t="n"/>
      <c r="F109" s="346" t="inlineStr">
        <is>
          <t>Перегородка из бетонных камней толщиной 190мм</t>
        </is>
      </c>
      <c r="G109" s="349" t="inlineStr">
        <is>
          <t>Корпус 5</t>
        </is>
      </c>
      <c r="H109" s="349" t="n"/>
      <c r="I109" s="349" t="n"/>
      <c r="J109" s="439" t="n"/>
      <c r="K109" s="351" t="inlineStr">
        <is>
          <t>Перфорированная оцинкованная полоса 0,75х20 мм</t>
        </is>
      </c>
      <c r="L109" s="349" t="inlineStr">
        <is>
          <t>м.п.</t>
        </is>
      </c>
      <c r="M109" s="429" t="n">
        <v>0</v>
      </c>
      <c r="N109" s="429">
        <f>W109</f>
        <v/>
      </c>
      <c r="O109" s="349" t="n">
        <v>0</v>
      </c>
      <c r="P109" s="349" t="n">
        <v>0</v>
      </c>
      <c r="Q109" s="429">
        <f>N109*V109+P109</f>
        <v/>
      </c>
      <c r="R109" s="349" t="inlineStr">
        <is>
          <t>м.п.</t>
        </is>
      </c>
      <c r="S109" s="349" t="n"/>
      <c r="T109" s="349" t="n"/>
      <c r="U109" s="349" t="n"/>
      <c r="V109" s="349" t="n">
        <v>1</v>
      </c>
      <c r="W109" s="0" t="n">
        <v>0</v>
      </c>
    </row>
    <row r="110" s="1227">
      <c r="A110" s="349" t="inlineStr">
        <is>
          <t>мат.</t>
        </is>
      </c>
      <c r="B110" s="349" t="inlineStr">
        <is>
          <t>13АВ-РД-АР1.1-К5</t>
        </is>
      </c>
      <c r="C110" s="379" t="n">
        <v>45992</v>
      </c>
      <c r="D110" s="349" t="inlineStr">
        <is>
          <t>Кладка</t>
        </is>
      </c>
      <c r="E110" s="349" t="n"/>
      <c r="F110" s="346" t="inlineStr">
        <is>
          <t>Перегородка из бетонных камней толщиной 190мм</t>
        </is>
      </c>
      <c r="G110" s="349" t="inlineStr">
        <is>
          <t>Корпус 5</t>
        </is>
      </c>
      <c r="H110" s="349" t="n"/>
      <c r="I110" s="349" t="n"/>
      <c r="J110" s="439" t="n"/>
      <c r="K110" s="351" t="inlineStr">
        <is>
          <t>Дюбель гвоздь 5х50</t>
        </is>
      </c>
      <c r="L110" s="349" t="inlineStr">
        <is>
          <t>шт</t>
        </is>
      </c>
      <c r="M110" s="429" t="n">
        <v>0</v>
      </c>
      <c r="N110" s="429">
        <f>W110</f>
        <v/>
      </c>
      <c r="O110" s="349" t="n">
        <v>0</v>
      </c>
      <c r="P110" s="349" t="n">
        <v>0</v>
      </c>
      <c r="Q110" s="429">
        <f>N110*V110+P110</f>
        <v/>
      </c>
      <c r="R110" s="349" t="inlineStr">
        <is>
          <t>шт</t>
        </is>
      </c>
      <c r="S110" s="349" t="n"/>
      <c r="T110" s="349" t="n"/>
      <c r="U110" s="349" t="n"/>
      <c r="V110" s="349" t="n">
        <v>1</v>
      </c>
      <c r="W110" s="0" t="n">
        <v>0</v>
      </c>
    </row>
    <row r="111" s="1227">
      <c r="A111" s="349" t="inlineStr">
        <is>
          <t>мат.</t>
        </is>
      </c>
      <c r="B111" s="349" t="inlineStr">
        <is>
          <t>13АВ-РД-АР1.1-К5</t>
        </is>
      </c>
      <c r="C111" s="379" t="n">
        <v>45992</v>
      </c>
      <c r="D111" s="349" t="inlineStr">
        <is>
          <t>Кладка</t>
        </is>
      </c>
      <c r="E111" s="349" t="n"/>
      <c r="F111" s="346" t="inlineStr">
        <is>
          <t>Перегородка из бетонных камней толщиной 190мм</t>
        </is>
      </c>
      <c r="G111" s="349" t="inlineStr">
        <is>
          <t>Корпус 5</t>
        </is>
      </c>
      <c r="H111" s="349" t="n"/>
      <c r="I111" s="349" t="n"/>
      <c r="J111" s="439" t="n"/>
      <c r="K111" s="351" t="inlineStr">
        <is>
          <t>Дюбель гвоздь 5х100</t>
        </is>
      </c>
      <c r="L111" s="349" t="inlineStr">
        <is>
          <t>шт</t>
        </is>
      </c>
      <c r="M111" s="429" t="n">
        <v>0</v>
      </c>
      <c r="N111" s="429">
        <f>W111</f>
        <v/>
      </c>
      <c r="O111" s="349" t="n">
        <v>0</v>
      </c>
      <c r="P111" s="349" t="n">
        <v>0</v>
      </c>
      <c r="Q111" s="429">
        <f>N111*V111+P111</f>
        <v/>
      </c>
      <c r="R111" s="349" t="inlineStr">
        <is>
          <t>шт</t>
        </is>
      </c>
      <c r="S111" s="349" t="n"/>
      <c r="T111" s="349" t="n"/>
      <c r="U111" s="349" t="n"/>
      <c r="V111" s="349" t="n">
        <v>1</v>
      </c>
      <c r="W111" s="0" t="n">
        <v>0</v>
      </c>
    </row>
    <row r="112">
      <c r="A112" s="349" t="inlineStr">
        <is>
          <t>мат.</t>
        </is>
      </c>
      <c r="B112" s="349" t="inlineStr">
        <is>
          <t>13АВ-РД-АР1.1-К5</t>
        </is>
      </c>
      <c r="C112" s="379" t="n">
        <v>45992</v>
      </c>
      <c r="D112" s="349" t="inlineStr">
        <is>
          <t>Кладка</t>
        </is>
      </c>
      <c r="E112" s="349" t="inlineStr">
        <is>
          <t>БАЗА</t>
        </is>
      </c>
      <c r="F112" s="346" t="inlineStr">
        <is>
          <t>Наружние стены D600 250 мм</t>
        </is>
      </c>
      <c r="G112" s="349" t="inlineStr">
        <is>
          <t>Корпус 5</t>
        </is>
      </c>
      <c r="H112" s="349" t="n"/>
      <c r="I112" s="349" t="inlineStr">
        <is>
          <t>м3</t>
        </is>
      </c>
      <c r="J112" s="439" t="n"/>
      <c r="K112" s="428" t="inlineStr">
        <is>
          <t>Газобетонный блок толщиной 250мм,
D600</t>
        </is>
      </c>
      <c r="L112" s="349" t="inlineStr">
        <is>
          <t>м3</t>
        </is>
      </c>
      <c r="M112" s="429" t="n">
        <v>246</v>
      </c>
      <c r="N112" s="430">
        <f>W112</f>
        <v/>
      </c>
      <c r="O112" s="349" t="n">
        <v>0</v>
      </c>
      <c r="P112" s="349" t="n">
        <v>0</v>
      </c>
      <c r="Q112" s="429">
        <f>N112*V112+P112</f>
        <v/>
      </c>
      <c r="R112" s="349" t="inlineStr">
        <is>
          <t>м3</t>
        </is>
      </c>
      <c r="S112" s="349" t="n"/>
      <c r="T112" s="349" t="n"/>
      <c r="U112" s="349" t="inlineStr">
        <is>
          <t>СН-1.2</t>
        </is>
      </c>
      <c r="V112" s="349" t="n">
        <v>1</v>
      </c>
      <c r="W112" s="0" t="n">
        <v>18.347</v>
      </c>
    </row>
    <row r="113" s="1227">
      <c r="A113" s="349" t="inlineStr">
        <is>
          <t>мат.</t>
        </is>
      </c>
      <c r="B113" s="349" t="inlineStr">
        <is>
          <t>13АВ-РД-АР1.1-К5</t>
        </is>
      </c>
      <c r="C113" s="379" t="n">
        <v>45992</v>
      </c>
      <c r="D113" s="349" t="inlineStr">
        <is>
          <t>Кладка</t>
        </is>
      </c>
      <c r="E113" s="349" t="n"/>
      <c r="F113" s="346" t="inlineStr">
        <is>
          <t>Наружние стены D600 250 мм</t>
        </is>
      </c>
      <c r="G113" s="349" t="inlineStr">
        <is>
          <t>Корпус 5</t>
        </is>
      </c>
      <c r="H113" s="349" t="n"/>
      <c r="I113" s="349" t="n"/>
      <c r="J113" s="439" t="n"/>
      <c r="K113" s="351" t="inlineStr">
        <is>
          <t>Базальтовая сетка для армирования кладки</t>
        </is>
      </c>
      <c r="L113" s="349" t="inlineStr">
        <is>
          <t>м2</t>
        </is>
      </c>
      <c r="M113" s="429" t="n"/>
      <c r="N113" s="429" t="n"/>
      <c r="O113" s="349" t="n"/>
      <c r="P113" s="349" t="n"/>
      <c r="Q113" s="429" t="n"/>
      <c r="R113" s="349" t="n"/>
      <c r="S113" s="349" t="n"/>
      <c r="T113" s="349" t="n"/>
      <c r="U113" s="349" t="n"/>
      <c r="V113" s="349" t="n"/>
      <c r="W113" s="0" t="n">
        <v>0</v>
      </c>
    </row>
    <row r="114" s="1227">
      <c r="A114" s="349" t="inlineStr">
        <is>
          <t>мат.</t>
        </is>
      </c>
      <c r="B114" s="349" t="inlineStr">
        <is>
          <t>13АВ-РД-АР1.1-К5</t>
        </is>
      </c>
      <c r="C114" s="379" t="n">
        <v>45992</v>
      </c>
      <c r="D114" s="349" t="inlineStr">
        <is>
          <t>Кладка</t>
        </is>
      </c>
      <c r="E114" s="349" t="n"/>
      <c r="F114" s="346" t="inlineStr">
        <is>
          <t>Наружние стены D600 250 мм</t>
        </is>
      </c>
      <c r="G114" s="349" t="inlineStr">
        <is>
          <t>Корпус 5</t>
        </is>
      </c>
      <c r="H114" s="349" t="n"/>
      <c r="I114" s="349" t="n"/>
      <c r="J114" s="439" t="n"/>
      <c r="K114" s="351" t="inlineStr">
        <is>
          <t>Цементно-песчаный раствор М100</t>
        </is>
      </c>
      <c r="L114" s="349" t="inlineStr">
        <is>
          <t>м3</t>
        </is>
      </c>
      <c r="M114" s="429" t="n">
        <v>273.17</v>
      </c>
      <c r="N114" s="429">
        <f>W114</f>
        <v/>
      </c>
      <c r="O114" s="349" t="n">
        <v>0</v>
      </c>
      <c r="P114" s="349" t="n">
        <v>0</v>
      </c>
      <c r="Q114" s="429">
        <f>N114*V114+P114</f>
        <v/>
      </c>
      <c r="R114" s="349" t="inlineStr">
        <is>
          <t>м3</t>
        </is>
      </c>
      <c r="S114" s="349" t="n"/>
      <c r="T114" s="349" t="n"/>
      <c r="U114" s="349" t="inlineStr">
        <is>
          <t>Подушка стены СН-1.2</t>
        </is>
      </c>
      <c r="V114" s="349" t="n">
        <v>1</v>
      </c>
      <c r="W114" s="0" t="n">
        <v>0</v>
      </c>
    </row>
    <row r="115" s="1227">
      <c r="A115" s="349" t="n"/>
      <c r="B115" s="349" t="inlineStr">
        <is>
          <t>13АВ-РД-АР1.1-К5</t>
        </is>
      </c>
      <c r="C115" s="379" t="n">
        <v>45992</v>
      </c>
      <c r="D115" s="349" t="inlineStr">
        <is>
          <t>Кладка</t>
        </is>
      </c>
      <c r="E115" s="349" t="n"/>
      <c r="F115" s="346" t="inlineStr">
        <is>
          <t>Наружние стены D600 250 мм</t>
        </is>
      </c>
      <c r="G115" s="349" t="inlineStr">
        <is>
          <t>Корпус 5</t>
        </is>
      </c>
      <c r="H115" s="349" t="n"/>
      <c r="I115" s="349" t="n"/>
      <c r="J115" s="439" t="n"/>
      <c r="K115" s="351" t="inlineStr">
        <is>
          <t>Примыкание к плите перекрытия</t>
        </is>
      </c>
      <c r="L115" s="349" t="inlineStr">
        <is>
          <t>м.п.</t>
        </is>
      </c>
      <c r="M115" s="429" t="n">
        <v>0</v>
      </c>
      <c r="N115" s="429">
        <f>W115</f>
        <v/>
      </c>
      <c r="O115" s="349" t="n">
        <v>0</v>
      </c>
      <c r="P115" s="349" t="n">
        <v>0</v>
      </c>
      <c r="Q115" s="429">
        <f>N115*V115+P115</f>
        <v/>
      </c>
      <c r="R115" s="349" t="inlineStr">
        <is>
          <t>м.п.</t>
        </is>
      </c>
      <c r="S115" s="349" t="n"/>
      <c r="T115" s="349" t="n"/>
      <c r="U115" s="346" t="inlineStr">
        <is>
          <t>Верхнее крепление газобетонных блоков СН-1.2 к перекрытию (узел Б1)</t>
        </is>
      </c>
      <c r="V115" s="349" t="n">
        <v>1</v>
      </c>
      <c r="W115" s="0" t="n">
        <v>0</v>
      </c>
    </row>
    <row r="116" s="1227">
      <c r="A116" s="349" t="inlineStr">
        <is>
          <t>мат.</t>
        </is>
      </c>
      <c r="B116" s="349" t="inlineStr">
        <is>
          <t>13АВ-РД-АР1.1-К5</t>
        </is>
      </c>
      <c r="C116" s="379" t="n">
        <v>45992</v>
      </c>
      <c r="D116" s="349" t="inlineStr">
        <is>
          <t>Кладка</t>
        </is>
      </c>
      <c r="E116" s="349" t="n"/>
      <c r="F116" s="346" t="inlineStr">
        <is>
          <t>Наружние стены D600 250 мм</t>
        </is>
      </c>
      <c r="G116" s="349" t="inlineStr">
        <is>
          <t>Корпус 5</t>
        </is>
      </c>
      <c r="H116" s="349" t="n"/>
      <c r="I116" s="349" t="n"/>
      <c r="J116" s="439" t="n"/>
      <c r="K116" s="351" t="inlineStr">
        <is>
          <t>Уголок 75х50х5 ГОСТ 8510-86</t>
        </is>
      </c>
      <c r="L116" s="349" t="inlineStr">
        <is>
          <t>м.п.</t>
        </is>
      </c>
      <c r="M116" s="429" t="n">
        <v>0</v>
      </c>
      <c r="N116" s="430">
        <f>W116</f>
        <v/>
      </c>
      <c r="O116" s="349" t="n">
        <v>0</v>
      </c>
      <c r="P116" s="349" t="n">
        <v>0</v>
      </c>
      <c r="Q116" s="429">
        <f>N116*V116+P116</f>
        <v/>
      </c>
      <c r="R116" s="349" t="inlineStr">
        <is>
          <t>м.п.</t>
        </is>
      </c>
      <c r="S116" s="349" t="n"/>
      <c r="T116" s="349" t="n"/>
      <c r="U116" s="346" t="inlineStr">
        <is>
          <t>Материал крепления газобетонных блоков СН-1.2 к перекрытию (узел Б1)</t>
        </is>
      </c>
      <c r="V116" s="349" t="n">
        <v>1</v>
      </c>
      <c r="W116" s="0" t="n">
        <v>0</v>
      </c>
    </row>
    <row r="117" s="1227">
      <c r="A117" s="349" t="inlineStr">
        <is>
          <t>мат.</t>
        </is>
      </c>
      <c r="B117" s="349" t="inlineStr">
        <is>
          <t>13АВ-РД-АР1.1-К5</t>
        </is>
      </c>
      <c r="C117" s="379" t="n">
        <v>45992</v>
      </c>
      <c r="D117" s="349" t="inlineStr">
        <is>
          <t>Кладка</t>
        </is>
      </c>
      <c r="E117" s="349" t="n"/>
      <c r="F117" s="346" t="inlineStr">
        <is>
          <t>Наружние стены D600 250 мм</t>
        </is>
      </c>
      <c r="G117" s="349" t="inlineStr">
        <is>
          <t>Корпус 5</t>
        </is>
      </c>
      <c r="H117" s="349" t="n"/>
      <c r="I117" s="349" t="n"/>
      <c r="J117" s="439" t="n"/>
      <c r="K117" s="351" t="inlineStr">
        <is>
          <t>Минераловатные плиты средней жесткости р=37-45 кг/м³, λ=0,039 Вт/м°С</t>
        </is>
      </c>
      <c r="L117" s="349" t="inlineStr">
        <is>
          <t>м3</t>
        </is>
      </c>
      <c r="M117" s="429" t="n">
        <v>0</v>
      </c>
      <c r="N117" s="430">
        <f>W117</f>
        <v/>
      </c>
      <c r="O117" s="349" t="n">
        <v>0</v>
      </c>
      <c r="P117" s="349" t="n">
        <v>0</v>
      </c>
      <c r="Q117" s="429">
        <f>N117*V117+P117</f>
        <v/>
      </c>
      <c r="R117" s="349" t="inlineStr">
        <is>
          <t>м3</t>
        </is>
      </c>
      <c r="S117" s="349" t="n"/>
      <c r="T117" s="349" t="n"/>
      <c r="U117" s="346" t="inlineStr">
        <is>
          <t>Материал крепления газобетонных блоков СН-1.2 к перекрытию (узел Б1)</t>
        </is>
      </c>
      <c r="V117" s="349" t="n">
        <v>1</v>
      </c>
      <c r="W117" s="0" t="n">
        <v>0</v>
      </c>
    </row>
    <row r="118" s="1227">
      <c r="A118" s="349" t="inlineStr">
        <is>
          <t>мат.</t>
        </is>
      </c>
      <c r="B118" s="349" t="inlineStr">
        <is>
          <t>13АВ-РД-АР1.1-К5</t>
        </is>
      </c>
      <c r="C118" s="379" t="n">
        <v>45992</v>
      </c>
      <c r="D118" s="349" t="inlineStr">
        <is>
          <t>Кладка</t>
        </is>
      </c>
      <c r="E118" s="349" t="n"/>
      <c r="F118" s="346" t="inlineStr">
        <is>
          <t>Наружние стены D600 250 мм</t>
        </is>
      </c>
      <c r="G118" s="349" t="inlineStr">
        <is>
          <t>Корпус 5</t>
        </is>
      </c>
      <c r="H118" s="349" t="n"/>
      <c r="I118" s="349" t="n"/>
      <c r="J118" s="439" t="n"/>
      <c r="K118" s="351" t="inlineStr">
        <is>
          <t>Цементно-песчаный раствор М100</t>
        </is>
      </c>
      <c r="L118" s="349" t="inlineStr">
        <is>
          <t>м3</t>
        </is>
      </c>
      <c r="M118" s="429" t="n">
        <v>0</v>
      </c>
      <c r="N118" s="429">
        <f>W118</f>
        <v/>
      </c>
      <c r="O118" s="349" t="n">
        <v>0</v>
      </c>
      <c r="P118" s="349" t="n">
        <v>0</v>
      </c>
      <c r="Q118" s="429">
        <f>N118*V118+P118</f>
        <v/>
      </c>
      <c r="R118" s="349" t="inlineStr">
        <is>
          <t>м3</t>
        </is>
      </c>
      <c r="S118" s="349" t="n"/>
      <c r="T118" s="349" t="n"/>
      <c r="U118" s="346" t="inlineStr">
        <is>
          <t>Материал крепления газобетонных блоков СН-1.2 к перекрытию (узел Б1)</t>
        </is>
      </c>
      <c r="V118" s="349" t="n">
        <v>1</v>
      </c>
      <c r="W118" s="0" t="n">
        <v>0</v>
      </c>
    </row>
    <row r="119" s="1227">
      <c r="A119" s="349" t="inlineStr">
        <is>
          <t>мат.</t>
        </is>
      </c>
      <c r="B119" s="349" t="inlineStr">
        <is>
          <t>13АВ-РД-АР1.1-К5</t>
        </is>
      </c>
      <c r="C119" s="379" t="n">
        <v>45992</v>
      </c>
      <c r="D119" s="349" t="inlineStr">
        <is>
          <t>Кладка</t>
        </is>
      </c>
      <c r="E119" s="349" t="n"/>
      <c r="F119" s="346" t="inlineStr">
        <is>
          <t>Наружние стены D600 250 мм</t>
        </is>
      </c>
      <c r="G119" s="349" t="inlineStr">
        <is>
          <t>Корпус 5</t>
        </is>
      </c>
      <c r="H119" s="349" t="n"/>
      <c r="I119" s="349" t="n"/>
      <c r="J119" s="439" t="n"/>
      <c r="K119" s="351" t="inlineStr">
        <is>
          <t>Анкер М6х65</t>
        </is>
      </c>
      <c r="L119" s="349" t="inlineStr">
        <is>
          <t>шт</t>
        </is>
      </c>
      <c r="M119" s="429" t="n">
        <v>0</v>
      </c>
      <c r="N119" s="430">
        <f>W119</f>
        <v/>
      </c>
      <c r="O119" s="349" t="n">
        <v>0</v>
      </c>
      <c r="P119" s="349" t="n">
        <v>0</v>
      </c>
      <c r="Q119" s="429">
        <f>N119*V119+P119</f>
        <v/>
      </c>
      <c r="R119" s="349" t="inlineStr">
        <is>
          <t>шт</t>
        </is>
      </c>
      <c r="S119" s="349" t="n"/>
      <c r="T119" s="349" t="n"/>
      <c r="U119" s="346" t="inlineStr">
        <is>
          <t>Материал крепления газобетонных блоков СН-1.2 к перекрытию (узел Б1)</t>
        </is>
      </c>
      <c r="V119" s="349" t="n">
        <v>1</v>
      </c>
      <c r="W119" s="0" t="n">
        <v>0</v>
      </c>
    </row>
    <row r="120" s="1227">
      <c r="A120" s="349" t="n"/>
      <c r="B120" s="349" t="inlineStr">
        <is>
          <t>13АВ-РД-АР1.1-К5</t>
        </is>
      </c>
      <c r="C120" s="379" t="n">
        <v>45992</v>
      </c>
      <c r="D120" s="349" t="inlineStr">
        <is>
          <t>Кладка</t>
        </is>
      </c>
      <c r="E120" s="349" t="n"/>
      <c r="F120" s="346" t="inlineStr">
        <is>
          <t>Наружние стены D600 250 мм</t>
        </is>
      </c>
      <c r="G120" s="349" t="inlineStr">
        <is>
          <t>Корпус 5</t>
        </is>
      </c>
      <c r="H120" s="349" t="n"/>
      <c r="I120" s="349" t="n"/>
      <c r="J120" s="439" t="n"/>
      <c r="K120" s="351" t="inlineStr">
        <is>
          <t>Крепление газобетонных блоков к жб стенам</t>
        </is>
      </c>
      <c r="L120" s="349" t="inlineStr">
        <is>
          <t>м.п.</t>
        </is>
      </c>
      <c r="M120" s="429" t="n">
        <v>0</v>
      </c>
      <c r="N120" s="429">
        <f>W120</f>
        <v/>
      </c>
      <c r="O120" s="349" t="n">
        <v>0</v>
      </c>
      <c r="P120" s="349" t="n">
        <v>0</v>
      </c>
      <c r="Q120" s="429">
        <f>N120*V120+P120</f>
        <v/>
      </c>
      <c r="R120" s="349" t="inlineStr">
        <is>
          <t>м.п.</t>
        </is>
      </c>
      <c r="S120" s="349" t="n"/>
      <c r="T120" s="349" t="n"/>
      <c r="U120" s="346" t="inlineStr">
        <is>
          <t>Крепление стен СН-1.2 к железобетоным стенам. Узел А</t>
        </is>
      </c>
      <c r="V120" s="349" t="n">
        <v>1</v>
      </c>
      <c r="W120" s="0" t="n">
        <v>0</v>
      </c>
    </row>
    <row r="121" s="1227">
      <c r="A121" s="349" t="inlineStr">
        <is>
          <t>мат.</t>
        </is>
      </c>
      <c r="B121" s="349" t="inlineStr">
        <is>
          <t>13АВ-РД-АР1.1-К5</t>
        </is>
      </c>
      <c r="C121" s="379" t="n">
        <v>45992</v>
      </c>
      <c r="D121" s="349" t="inlineStr">
        <is>
          <t>Кладка</t>
        </is>
      </c>
      <c r="E121" s="349" t="n"/>
      <c r="F121" s="346" t="inlineStr">
        <is>
          <t>Наружние стены D600 250 мм</t>
        </is>
      </c>
      <c r="G121" s="349" t="inlineStr">
        <is>
          <t>Корпус 5</t>
        </is>
      </c>
      <c r="H121" s="349" t="n"/>
      <c r="I121" s="349" t="n"/>
      <c r="J121" s="439" t="n"/>
      <c r="K121" s="351" t="inlineStr">
        <is>
          <t>Клеевой раствор</t>
        </is>
      </c>
      <c r="L121" s="349" t="inlineStr">
        <is>
          <t>м3</t>
        </is>
      </c>
      <c r="M121" s="429" t="n">
        <v>0</v>
      </c>
      <c r="N121" s="429">
        <f>W121</f>
        <v/>
      </c>
      <c r="O121" s="349" t="n">
        <v>0</v>
      </c>
      <c r="P121" s="349" t="n">
        <v>0</v>
      </c>
      <c r="Q121" s="429">
        <f>N121*V121+P121</f>
        <v/>
      </c>
      <c r="R121" s="349" t="inlineStr">
        <is>
          <t>м3</t>
        </is>
      </c>
      <c r="S121" s="349" t="n"/>
      <c r="T121" s="349" t="n"/>
      <c r="U121" s="346" t="inlineStr">
        <is>
          <t>Материал крепления блоков СН-1.2 к стенам (узел А)</t>
        </is>
      </c>
      <c r="V121" s="349" t="n">
        <v>1</v>
      </c>
      <c r="W121" s="0" t="n">
        <v>0</v>
      </c>
    </row>
    <row r="122" s="1227">
      <c r="A122" s="349" t="inlineStr">
        <is>
          <t>мат.</t>
        </is>
      </c>
      <c r="B122" s="349" t="inlineStr">
        <is>
          <t>13АВ-РД-АР1.1-К5</t>
        </is>
      </c>
      <c r="C122" s="379" t="n">
        <v>45992</v>
      </c>
      <c r="D122" s="349" t="inlineStr">
        <is>
          <t>Кладка</t>
        </is>
      </c>
      <c r="E122" s="349" t="n"/>
      <c r="F122" s="346" t="inlineStr">
        <is>
          <t>Наружние стены D600 250 мм</t>
        </is>
      </c>
      <c r="G122" s="349" t="inlineStr">
        <is>
          <t>Корпус 5</t>
        </is>
      </c>
      <c r="H122" s="349" t="n"/>
      <c r="I122" s="349" t="n"/>
      <c r="J122" s="439" t="n"/>
      <c r="K122" s="351" t="inlineStr">
        <is>
          <t>Перфорированная оцинкованная полоса 1,5х30 мм</t>
        </is>
      </c>
      <c r="L122" s="349" t="inlineStr">
        <is>
          <t>м.п.</t>
        </is>
      </c>
      <c r="M122" s="429" t="n">
        <v>0</v>
      </c>
      <c r="N122" s="430">
        <f>W122</f>
        <v/>
      </c>
      <c r="O122" s="349" t="n">
        <v>0</v>
      </c>
      <c r="P122" s="349" t="n">
        <v>0</v>
      </c>
      <c r="Q122" s="429">
        <f>N122*V122+P122</f>
        <v/>
      </c>
      <c r="R122" s="349" t="inlineStr">
        <is>
          <t>м.п.</t>
        </is>
      </c>
      <c r="S122" s="349" t="n"/>
      <c r="T122" s="349" t="n"/>
      <c r="U122" s="346" t="inlineStr">
        <is>
          <t>Материал крепления блоков СН-1.2 к стенам (узел А)</t>
        </is>
      </c>
      <c r="V122" s="349" t="n">
        <v>1</v>
      </c>
      <c r="W122" s="0" t="n">
        <v>0</v>
      </c>
    </row>
    <row r="123" s="1227">
      <c r="A123" s="349" t="inlineStr">
        <is>
          <t>мат.</t>
        </is>
      </c>
      <c r="B123" s="349" t="inlineStr">
        <is>
          <t>13АВ-РД-АР1.1-К5</t>
        </is>
      </c>
      <c r="C123" s="379" t="n">
        <v>45992</v>
      </c>
      <c r="D123" s="349" t="inlineStr">
        <is>
          <t>Кладка</t>
        </is>
      </c>
      <c r="E123" s="349" t="n"/>
      <c r="F123" s="346" t="inlineStr">
        <is>
          <t>Наружние стены D600 250 мм</t>
        </is>
      </c>
      <c r="G123" s="349" t="inlineStr">
        <is>
          <t>Корпус 5</t>
        </is>
      </c>
      <c r="H123" s="349" t="n"/>
      <c r="I123" s="349" t="n"/>
      <c r="J123" s="439" t="n"/>
      <c r="K123" s="351" t="inlineStr">
        <is>
          <t>Дюбель гвоздь 5х50</t>
        </is>
      </c>
      <c r="L123" s="349" t="inlineStr">
        <is>
          <t>шт</t>
        </is>
      </c>
      <c r="M123" s="429" t="n">
        <v>0</v>
      </c>
      <c r="N123" s="430">
        <f>W123</f>
        <v/>
      </c>
      <c r="O123" s="349" t="n">
        <v>0</v>
      </c>
      <c r="P123" s="349" t="n">
        <v>0</v>
      </c>
      <c r="Q123" s="429">
        <f>N123*V123+P123</f>
        <v/>
      </c>
      <c r="R123" s="349" t="inlineStr">
        <is>
          <t>шт</t>
        </is>
      </c>
      <c r="S123" s="349" t="n"/>
      <c r="T123" s="349" t="n"/>
      <c r="U123" s="346" t="inlineStr">
        <is>
          <t>Материал крепления блоков СН-1.2 к стенам (узел А)</t>
        </is>
      </c>
      <c r="V123" s="349" t="n">
        <v>1</v>
      </c>
      <c r="W123" s="0" t="n">
        <v>0</v>
      </c>
    </row>
    <row r="124" s="1227">
      <c r="A124" s="349" t="inlineStr">
        <is>
          <t>мат.</t>
        </is>
      </c>
      <c r="B124" s="349" t="inlineStr">
        <is>
          <t>13АВ-РД-АР1.1-К5</t>
        </is>
      </c>
      <c r="C124" s="379" t="n">
        <v>45992</v>
      </c>
      <c r="D124" s="349" t="inlineStr">
        <is>
          <t>Кладка</t>
        </is>
      </c>
      <c r="E124" s="349" t="n"/>
      <c r="F124" s="346" t="inlineStr">
        <is>
          <t>Наружние стены D600 250 мм</t>
        </is>
      </c>
      <c r="G124" s="349" t="inlineStr">
        <is>
          <t>Корпус 5</t>
        </is>
      </c>
      <c r="H124" s="349" t="n"/>
      <c r="I124" s="349" t="n"/>
      <c r="J124" s="439" t="n"/>
      <c r="K124" s="351" t="inlineStr">
        <is>
          <t>Дюбель гвоздь 5х100</t>
        </is>
      </c>
      <c r="L124" s="349" t="inlineStr">
        <is>
          <t>шт</t>
        </is>
      </c>
      <c r="M124" s="429" t="n">
        <v>0</v>
      </c>
      <c r="N124" s="430">
        <f>W124</f>
        <v/>
      </c>
      <c r="O124" s="349" t="n">
        <v>0</v>
      </c>
      <c r="P124" s="349" t="n">
        <v>0</v>
      </c>
      <c r="Q124" s="429">
        <f>N124*V124+P124</f>
        <v/>
      </c>
      <c r="R124" s="349" t="inlineStr">
        <is>
          <t>шт</t>
        </is>
      </c>
      <c r="S124" s="349" t="n"/>
      <c r="T124" s="349" t="n"/>
      <c r="U124" s="346" t="inlineStr">
        <is>
          <t>Материал крепления блоков СН-1.2 к стенам (узел А)</t>
        </is>
      </c>
      <c r="V124" s="349" t="n">
        <v>1</v>
      </c>
      <c r="W124" s="0" t="n">
        <v>0</v>
      </c>
    </row>
    <row r="125" s="1227">
      <c r="A125" s="349" t="inlineStr">
        <is>
          <t>мат.</t>
        </is>
      </c>
      <c r="B125" s="349" t="inlineStr">
        <is>
          <t>13АВ-РД-АР1.1-К5</t>
        </is>
      </c>
      <c r="C125" s="379" t="n">
        <v>45992</v>
      </c>
      <c r="D125" s="349" t="inlineStr">
        <is>
          <t>Кладка</t>
        </is>
      </c>
      <c r="E125" s="349" t="inlineStr">
        <is>
          <t>БАЗА</t>
        </is>
      </c>
      <c r="F125" s="346" t="inlineStr">
        <is>
          <t>Перемычки наружных стен D600 250 мм</t>
        </is>
      </c>
      <c r="G125" s="349" t="inlineStr">
        <is>
          <t>Корпус 5</t>
        </is>
      </c>
      <c r="H125" s="349" t="n"/>
      <c r="I125" s="349" t="n"/>
      <c r="J125" s="439" t="n"/>
      <c r="K125" s="428" t="inlineStr">
        <is>
          <t>Полоса 50х5,ГОСТ 8609-93</t>
        </is>
      </c>
      <c r="L125" s="349" t="inlineStr">
        <is>
          <t>м.п.</t>
        </is>
      </c>
      <c r="M125" s="429" t="n">
        <v>0</v>
      </c>
      <c r="N125" s="429">
        <f>W125</f>
        <v/>
      </c>
      <c r="O125" s="349" t="n">
        <v>0</v>
      </c>
      <c r="P125" s="349" t="n">
        <v>0</v>
      </c>
      <c r="Q125" s="429">
        <f>N125*V125+P125</f>
        <v/>
      </c>
      <c r="R125" s="349" t="inlineStr">
        <is>
          <t>т</t>
        </is>
      </c>
      <c r="S125" s="349" t="n"/>
      <c r="T125" s="349" t="n"/>
      <c r="U125" s="349" t="n"/>
      <c r="V125" s="349" t="n">
        <v>0.001962</v>
      </c>
      <c r="W125" s="0" t="n">
        <v>0</v>
      </c>
    </row>
    <row r="126" ht="36.75" customHeight="1" s="1227">
      <c r="A126" s="349" t="n"/>
      <c r="B126" s="349" t="inlineStr">
        <is>
          <t>13АВ-РД-АР1.1-К5</t>
        </is>
      </c>
      <c r="C126" s="379" t="n">
        <v>45992</v>
      </c>
      <c r="D126" s="349" t="inlineStr">
        <is>
          <t>Кладка</t>
        </is>
      </c>
      <c r="E126" s="349" t="inlineStr">
        <is>
          <t>БАЗА</t>
        </is>
      </c>
      <c r="F126" s="346" t="inlineStr">
        <is>
          <t>Наружная стена по типу Аквапанель</t>
        </is>
      </c>
      <c r="G126" s="349" t="inlineStr">
        <is>
          <t>Корпус 5</t>
        </is>
      </c>
      <c r="H126" s="349" t="n"/>
      <c r="I126" s="349" t="inlineStr">
        <is>
          <t>м2</t>
        </is>
      </c>
      <c r="J126" s="427" t="n"/>
      <c r="K126" s="428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126" s="349" t="inlineStr">
        <is>
          <t>м2</t>
        </is>
      </c>
      <c r="M126" s="429" t="n">
        <v>85</v>
      </c>
      <c r="N126" s="429">
        <f>W126</f>
        <v/>
      </c>
      <c r="O126" s="349" t="n">
        <v>0</v>
      </c>
      <c r="P126" s="349" t="n">
        <v>0</v>
      </c>
      <c r="Q126" s="429">
        <f>N126*V126+P126</f>
        <v/>
      </c>
      <c r="R126" s="349" t="inlineStr">
        <is>
          <t>м2</t>
        </is>
      </c>
      <c r="S126" s="349" t="n"/>
      <c r="T126" s="349" t="n"/>
      <c r="U126" s="349" t="inlineStr">
        <is>
          <t>СН-2.1</t>
        </is>
      </c>
      <c r="V126" s="349" t="n">
        <v>1</v>
      </c>
      <c r="W126" s="0" t="n">
        <v>0</v>
      </c>
    </row>
    <row r="127" s="1227">
      <c r="A127" s="67" t="n"/>
      <c r="B127" s="67" t="inlineStr">
        <is>
          <t>13АВ-РД-АР1.1-К5</t>
        </is>
      </c>
      <c r="C127" s="380" t="n">
        <v>45992</v>
      </c>
      <c r="D127" s="67" t="inlineStr">
        <is>
          <t>Кладка</t>
        </is>
      </c>
      <c r="E127" s="67" t="n"/>
      <c r="F127" s="471" t="inlineStr">
        <is>
          <t>Наружная стена по типу Аквапанель</t>
        </is>
      </c>
      <c r="G127" s="421" t="inlineStr">
        <is>
          <t>Корпус 5</t>
        </is>
      </c>
      <c r="H127" s="67" t="n"/>
      <c r="I127" s="421" t="inlineStr">
        <is>
          <t>п.м.</t>
        </is>
      </c>
      <c r="J127" s="450" t="n"/>
      <c r="K127" s="428" t="inlineStr">
        <is>
          <t>Примыкание к плите перекрытия</t>
        </is>
      </c>
      <c r="L127" s="349" t="inlineStr">
        <is>
          <t>п.м.</t>
        </is>
      </c>
      <c r="M127" s="429" t="n">
        <v>0</v>
      </c>
      <c r="N127" s="429">
        <f>W127</f>
        <v/>
      </c>
      <c r="O127" s="349" t="n">
        <v>0</v>
      </c>
      <c r="P127" s="349" t="n">
        <v>0</v>
      </c>
      <c r="Q127" s="429">
        <f>N127*V127+P127</f>
        <v/>
      </c>
      <c r="R127" s="349" t="inlineStr">
        <is>
          <t>п.м.</t>
        </is>
      </c>
      <c r="S127" s="349" t="n"/>
      <c r="T127" s="349" t="n"/>
      <c r="U127" s="428" t="inlineStr">
        <is>
          <t>Примыкание к плите перекрытия СН2.1</t>
        </is>
      </c>
      <c r="V127" s="349" t="n">
        <v>1</v>
      </c>
      <c r="W127" s="0" t="n">
        <v>0</v>
      </c>
    </row>
    <row r="128">
      <c r="A128" s="349" t="inlineStr">
        <is>
          <t>мат.</t>
        </is>
      </c>
      <c r="B128" s="349" t="inlineStr">
        <is>
          <t>13АВ-РД-АР1.1-К5</t>
        </is>
      </c>
      <c r="C128" s="379" t="n">
        <v>45992</v>
      </c>
      <c r="D128" s="349" t="inlineStr">
        <is>
          <t>Кладка</t>
        </is>
      </c>
      <c r="E128" s="349" t="inlineStr">
        <is>
          <t>БАЗА</t>
        </is>
      </c>
      <c r="F128" s="346" t="inlineStr">
        <is>
          <t>Утепление лоджии</t>
        </is>
      </c>
      <c r="G128" s="349" t="inlineStr">
        <is>
          <t>Корпус 5</t>
        </is>
      </c>
      <c r="H128" s="349" t="n"/>
      <c r="I128" s="349" t="inlineStr">
        <is>
          <t>м3</t>
        </is>
      </c>
      <c r="J128" s="439" t="n"/>
      <c r="K128" s="428" t="inlineStr">
        <is>
          <t>Плиты из минеральной ваты толщиной 150мм, плотностью ≥140кг/м³.
 Плиты крепить на клеевой состав и фиксировать тарельчатыми дюбелями. По изоляции выполнить защитный слой из клеевого состава армированный штукатурной стеклосеткой в 2 слоя</t>
        </is>
      </c>
      <c r="L128" s="349" t="inlineStr">
        <is>
          <t>м3</t>
        </is>
      </c>
      <c r="M128" s="429" t="n">
        <v>28.31</v>
      </c>
      <c r="N128" s="429">
        <f>W128</f>
        <v/>
      </c>
      <c r="O128" s="349" t="n">
        <v>0</v>
      </c>
      <c r="P128" s="349" t="n">
        <v>0</v>
      </c>
      <c r="Q128" s="429">
        <f>N128*V128+P128</f>
        <v/>
      </c>
      <c r="R128" s="349" t="inlineStr">
        <is>
          <t>м3</t>
        </is>
      </c>
      <c r="S128" s="349" t="n"/>
      <c r="T128" s="349" t="n"/>
      <c r="U128" s="346" t="inlineStr">
        <is>
          <t>У4 (Утеплители лоджии)</t>
        </is>
      </c>
      <c r="V128" s="349" t="n">
        <v>1</v>
      </c>
      <c r="W128" s="0" t="n">
        <v>0</v>
      </c>
    </row>
    <row r="129" s="1227">
      <c r="A129" s="349" t="n"/>
      <c r="B129" s="349" t="inlineStr">
        <is>
          <t>13АВ-РД-АР1.1-К5</t>
        </is>
      </c>
      <c r="C129" s="379" t="n">
        <v>45992</v>
      </c>
      <c r="D129" s="349" t="inlineStr">
        <is>
          <t>Кладка</t>
        </is>
      </c>
      <c r="E129" s="349" t="n"/>
      <c r="F129" s="346" t="inlineStr">
        <is>
          <t>Утепление лоджии</t>
        </is>
      </c>
      <c r="G129" s="349" t="inlineStr">
        <is>
          <t>Корпус 5</t>
        </is>
      </c>
      <c r="H129" s="349" t="n"/>
      <c r="I129" s="349" t="inlineStr">
        <is>
          <t>п.м.</t>
        </is>
      </c>
      <c r="J129" s="427" t="n"/>
      <c r="K129" s="428" t="inlineStr">
        <is>
          <t>Примыкание к плите перекрытия</t>
        </is>
      </c>
      <c r="L129" s="349" t="inlineStr">
        <is>
          <t>п.м.</t>
        </is>
      </c>
      <c r="M129" s="429" t="n">
        <v>0</v>
      </c>
      <c r="N129" s="429">
        <f>W129</f>
        <v/>
      </c>
      <c r="O129" s="349" t="n">
        <v>0</v>
      </c>
      <c r="P129" s="349" t="n">
        <v>0</v>
      </c>
      <c r="Q129" s="429">
        <f>N129*V129+P129</f>
        <v/>
      </c>
      <c r="R129" s="349" t="inlineStr">
        <is>
          <t>п.м.</t>
        </is>
      </c>
      <c r="S129" s="349" t="n"/>
      <c r="T129" s="349" t="n"/>
      <c r="U129" s="428" t="inlineStr">
        <is>
          <t>Примыкание к плите перекрытия утеплителя лоджии</t>
        </is>
      </c>
      <c r="V129" s="349" t="n">
        <v>1</v>
      </c>
      <c r="W129" s="0" t="n">
        <v>0</v>
      </c>
    </row>
    <row r="130" s="1227">
      <c r="A130" s="349" t="n"/>
      <c r="B130" s="349" t="inlineStr">
        <is>
          <t>13АВ-РД-АР1.1-К5</t>
        </is>
      </c>
      <c r="C130" s="379" t="n">
        <v>45992</v>
      </c>
      <c r="D130" s="349" t="inlineStr">
        <is>
          <t>Кладка</t>
        </is>
      </c>
      <c r="E130" s="349" t="n"/>
      <c r="F130" s="346" t="inlineStr">
        <is>
          <t>Утепление лоджии</t>
        </is>
      </c>
      <c r="G130" s="349" t="inlineStr">
        <is>
          <t>Корпус 5</t>
        </is>
      </c>
      <c r="H130" s="349" t="n"/>
      <c r="I130" s="349" t="inlineStr">
        <is>
          <t>п.м.</t>
        </is>
      </c>
      <c r="J130" s="427" t="n"/>
      <c r="K130" s="428" t="inlineStr">
        <is>
          <t>Примыкание к ЖБ стенам</t>
        </is>
      </c>
      <c r="L130" s="349" t="inlineStr">
        <is>
          <t>п.м.</t>
        </is>
      </c>
      <c r="M130" s="429" t="n">
        <v>0</v>
      </c>
      <c r="N130" s="429">
        <f>W130</f>
        <v/>
      </c>
      <c r="O130" s="349" t="n">
        <v>0</v>
      </c>
      <c r="P130" s="349" t="n">
        <v>0</v>
      </c>
      <c r="Q130" s="429">
        <f>N130*V130+P130</f>
        <v/>
      </c>
      <c r="R130" s="349" t="inlineStr">
        <is>
          <t>п.м.</t>
        </is>
      </c>
      <c r="S130" s="349" t="n"/>
      <c r="T130" s="349" t="n"/>
      <c r="U130" s="428" t="inlineStr">
        <is>
          <t>Примыкание к ЖБ стенам утеплителя лоджии</t>
        </is>
      </c>
      <c r="V130" s="349" t="n">
        <v>1</v>
      </c>
      <c r="W130" s="0" t="n">
        <v>0</v>
      </c>
    </row>
    <row r="131">
      <c r="A131" s="349" t="inlineStr">
        <is>
          <t>мат.</t>
        </is>
      </c>
      <c r="B131" s="349" t="inlineStr">
        <is>
          <t>13АВ-РД-АР1.1-К5</t>
        </is>
      </c>
      <c r="C131" s="379" t="n">
        <v>45992</v>
      </c>
      <c r="D131" s="349" t="inlineStr">
        <is>
          <t>Кладка</t>
        </is>
      </c>
      <c r="E131" s="349" t="inlineStr">
        <is>
          <t>БАЗА</t>
        </is>
      </c>
      <c r="F131" s="346" t="inlineStr">
        <is>
          <t>Перегородка из бетонных камней толщиной 80мм</t>
        </is>
      </c>
      <c r="G131" s="349" t="inlineStr">
        <is>
          <t>Корпус 5</t>
        </is>
      </c>
      <c r="H131" s="349" t="n"/>
      <c r="I131" s="349" t="inlineStr">
        <is>
          <t>м3</t>
        </is>
      </c>
      <c r="J131" s="439">
        <f>IF(AND(E131="БАЗА",I131=L131),N131,IF(E131&lt;&gt;"БАЗА","0",IF(I131&lt;&gt;L131,"Пересчет")))</f>
        <v/>
      </c>
      <c r="K131" s="428" t="inlineStr">
        <is>
          <t>Камень бетонный полнотелый, толщиной 80мм</t>
        </is>
      </c>
      <c r="L131" s="349" t="inlineStr">
        <is>
          <t>м2</t>
        </is>
      </c>
      <c r="M131" s="429" t="n">
        <v>127.8</v>
      </c>
      <c r="N131" s="429">
        <f>W131</f>
        <v/>
      </c>
      <c r="O131" s="349" t="n">
        <v>0</v>
      </c>
      <c r="P131" s="349" t="n">
        <v>0</v>
      </c>
      <c r="Q131" s="429">
        <f>N131*V131+P131</f>
        <v/>
      </c>
      <c r="R131" s="349" t="inlineStr">
        <is>
          <t>м2</t>
        </is>
      </c>
      <c r="S131" s="349" t="n"/>
      <c r="T131" s="349" t="n"/>
      <c r="U131" s="346" t="inlineStr">
        <is>
          <t xml:space="preserve">СВ-3.2
</t>
        </is>
      </c>
      <c r="V131" s="349" t="n">
        <v>1</v>
      </c>
      <c r="W131" s="0" t="n">
        <v>27.786</v>
      </c>
    </row>
    <row r="132" s="1227">
      <c r="A132" s="421" t="n"/>
      <c r="B132" s="67" t="inlineStr">
        <is>
          <t>13АВ-РД-АР1.1-К5</t>
        </is>
      </c>
      <c r="C132" s="380" t="n">
        <v>45992</v>
      </c>
      <c r="D132" s="67" t="inlineStr">
        <is>
          <t>Кладка</t>
        </is>
      </c>
      <c r="E132" s="421" t="n"/>
      <c r="F132" s="471" t="inlineStr">
        <is>
          <t>Перегородка из бетонных камней толщиной 80мм</t>
        </is>
      </c>
      <c r="G132" s="421" t="inlineStr">
        <is>
          <t>Корпус 5</t>
        </is>
      </c>
      <c r="H132" s="421" t="n"/>
      <c r="I132" s="421" t="inlineStr">
        <is>
          <t>п.м.</t>
        </is>
      </c>
      <c r="J132" s="419" t="n"/>
      <c r="K132" s="451" t="inlineStr">
        <is>
          <t>Примыкание к плите перекрытия</t>
        </is>
      </c>
      <c r="L132" s="67" t="inlineStr">
        <is>
          <t>п.м.</t>
        </is>
      </c>
      <c r="M132" s="413" t="n">
        <v>0</v>
      </c>
      <c r="N132" s="413">
        <f>W132</f>
        <v/>
      </c>
      <c r="O132" s="67" t="n">
        <v>0</v>
      </c>
      <c r="P132" s="67" t="n">
        <v>0</v>
      </c>
      <c r="Q132" s="413">
        <f>N132*V132+P132</f>
        <v/>
      </c>
      <c r="R132" s="67" t="inlineStr">
        <is>
          <t>п.м.</t>
        </is>
      </c>
      <c r="S132" s="67" t="n"/>
      <c r="T132" s="67" t="n"/>
      <c r="U132" s="67" t="inlineStr">
        <is>
          <t>Примыкание к плите перекрытия СВ-3.2</t>
        </is>
      </c>
      <c r="V132" s="67" t="n">
        <v>1</v>
      </c>
      <c r="W132" s="0" t="n">
        <v>0</v>
      </c>
    </row>
    <row r="133" s="1227">
      <c r="A133" s="421" t="n"/>
      <c r="B133" s="67" t="inlineStr">
        <is>
          <t>13АВ-РД-АР1.1-К5</t>
        </is>
      </c>
      <c r="C133" s="380" t="n">
        <v>45992</v>
      </c>
      <c r="D133" s="67" t="inlineStr">
        <is>
          <t>Кладка</t>
        </is>
      </c>
      <c r="E133" s="421" t="n"/>
      <c r="F133" s="471" t="inlineStr">
        <is>
          <t>Перегородка из бетонных камней толщиной 80мм</t>
        </is>
      </c>
      <c r="G133" s="421" t="inlineStr">
        <is>
          <t>Корпус 5</t>
        </is>
      </c>
      <c r="H133" s="421" t="n"/>
      <c r="I133" s="421" t="inlineStr">
        <is>
          <t>п.м.</t>
        </is>
      </c>
      <c r="J133" s="421" t="n"/>
      <c r="K133" s="451" t="inlineStr">
        <is>
          <t>Примыкание к ЖБ стенам</t>
        </is>
      </c>
      <c r="L133" s="67" t="inlineStr">
        <is>
          <t>п.м.</t>
        </is>
      </c>
      <c r="M133" s="413" t="n">
        <v>0</v>
      </c>
      <c r="N133" s="413">
        <f>W133</f>
        <v/>
      </c>
      <c r="O133" s="67" t="n">
        <v>0</v>
      </c>
      <c r="P133" s="67" t="n">
        <v>0</v>
      </c>
      <c r="Q133" s="413">
        <f>N133*V133+P133</f>
        <v/>
      </c>
      <c r="R133" s="67" t="inlineStr">
        <is>
          <t>п.м.</t>
        </is>
      </c>
      <c r="S133" s="67" t="n"/>
      <c r="T133" s="67" t="n"/>
      <c r="U133" s="67" t="inlineStr">
        <is>
          <t>Примыкание к ЖБ стенам СВ-3.2</t>
        </is>
      </c>
      <c r="V133" s="67" t="n">
        <v>1</v>
      </c>
      <c r="W133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12.63" customWidth="1" style="1227" min="15" max="15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0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0" t="inlineStr">
        <is>
          <t>Кол-во на этаже 1 (сверено с ПД floor-1)</t>
        </is>
      </c>
    </row>
    <row r="4">
      <c r="A4" s="495" t="inlineStr">
        <is>
          <t>мат.</t>
        </is>
      </c>
      <c r="B4" s="495" t="inlineStr">
        <is>
          <t>13АВ-РД-АР1.1-К6</t>
        </is>
      </c>
      <c r="C4" s="496" t="n">
        <v>46009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5" t="inlineStr">
        <is>
          <t>Корпус 6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545" t="n">
        <v>31.52</v>
      </c>
      <c r="N4" s="505">
        <f>W4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s="0" t="n">
        <v>2.69</v>
      </c>
    </row>
    <row r="5" s="1227">
      <c r="A5" s="421" t="n"/>
      <c r="B5" s="421" t="inlineStr">
        <is>
          <t>13АВ-РД-АР1.1-К6</t>
        </is>
      </c>
      <c r="C5" s="453" t="n">
        <v>46009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21" t="inlineStr">
        <is>
          <t>Корпус 6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05">
        <f>W5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s="0" t="n">
        <v>4.54</v>
      </c>
    </row>
    <row r="6" s="1227">
      <c r="A6" s="421" t="inlineStr">
        <is>
          <t>мат.</t>
        </is>
      </c>
      <c r="B6" s="421" t="inlineStr">
        <is>
          <t>13АВ-РД-АР1.1-К6</t>
        </is>
      </c>
      <c r="C6" s="453" t="n">
        <v>46009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21" t="inlineStr">
        <is>
          <t>Корпус 6</t>
        </is>
      </c>
      <c r="H6" s="421" t="n"/>
      <c r="I6" s="421" t="n"/>
      <c r="J6" s="504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505" t="n">
        <v>0.08046</v>
      </c>
      <c r="N6" s="505" t="n"/>
      <c r="O6" s="421" t="n"/>
      <c r="P6" s="421" t="n"/>
      <c r="Q6" s="456" t="n"/>
      <c r="R6" s="421" t="n"/>
      <c r="S6" s="421" t="n"/>
      <c r="T6" s="421" t="n"/>
      <c r="U6" s="487" t="inlineStr">
        <is>
          <t>ПР-3. Принимается значение по спецификации, пересчет не выполняется</t>
        </is>
      </c>
      <c r="V6" s="421" t="n"/>
    </row>
    <row r="7" s="1227">
      <c r="A7" s="421" t="inlineStr">
        <is>
          <t>мат.</t>
        </is>
      </c>
      <c r="B7" s="421" t="inlineStr">
        <is>
          <t>13АВ-РД-АР1.1-К6</t>
        </is>
      </c>
      <c r="C7" s="453" t="n">
        <v>46009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21" t="inlineStr">
        <is>
          <t>Корпус 6</t>
        </is>
      </c>
      <c r="H7" s="421" t="n"/>
      <c r="I7" s="421" t="n"/>
      <c r="J7" s="506">
        <f>M7</f>
        <v/>
      </c>
      <c r="K7" s="454" t="inlineStr">
        <is>
          <t>Пластина 40x4 ГОСТ 103-2006</t>
        </is>
      </c>
      <c r="L7" s="421" t="inlineStr">
        <is>
          <t>т</t>
        </is>
      </c>
      <c r="M7" s="507" t="n">
        <v>0.0035325</v>
      </c>
      <c r="N7" s="505" t="n"/>
      <c r="O7" s="421" t="n"/>
      <c r="P7" s="421" t="n"/>
      <c r="Q7" s="456" t="n"/>
      <c r="R7" s="421" t="n"/>
      <c r="S7" s="421" t="n"/>
      <c r="T7" s="421" t="n"/>
      <c r="U7" s="487" t="inlineStr">
        <is>
          <t>ПР-3. Принимается значение по спецификации, пересчет не выполняется</t>
        </is>
      </c>
      <c r="V7" s="421" t="n"/>
    </row>
    <row r="8">
      <c r="A8" s="495" t="inlineStr">
        <is>
          <t>мат.</t>
        </is>
      </c>
      <c r="B8" s="495" t="inlineStr">
        <is>
          <t>13АВ-РД-АР1.1-К6</t>
        </is>
      </c>
      <c r="C8" s="496" t="n">
        <v>46009</v>
      </c>
      <c r="D8" s="495" t="inlineStr">
        <is>
          <t>Кладка</t>
        </is>
      </c>
      <c r="E8" s="495" t="inlineStr">
        <is>
          <t>БАЗА</t>
        </is>
      </c>
      <c r="F8" s="497" t="inlineStr">
        <is>
          <t>Внутренние стены из газобетонных блоков D600 200 мм</t>
        </is>
      </c>
      <c r="G8" s="495" t="inlineStr">
        <is>
          <t>Корпус 6</t>
        </is>
      </c>
      <c r="H8" s="495" t="n"/>
      <c r="I8" s="495" t="n"/>
      <c r="J8" s="498">
        <f>Q8</f>
        <v/>
      </c>
      <c r="K8" s="499" t="inlineStr">
        <is>
          <t>Газобетонные блоки D600 толщиной 200 мм ГОСТ 31359-2024</t>
        </is>
      </c>
      <c r="L8" s="495" t="inlineStr">
        <is>
          <t>м3</t>
        </is>
      </c>
      <c r="M8" s="545" t="n">
        <v>780.54</v>
      </c>
      <c r="N8" s="505">
        <f>W8</f>
        <v/>
      </c>
      <c r="O8" s="495" t="n">
        <v>0</v>
      </c>
      <c r="P8" s="495" t="n">
        <v>0</v>
      </c>
      <c r="Q8" s="502">
        <f>N8*V8</f>
        <v/>
      </c>
      <c r="R8" s="495" t="inlineStr">
        <is>
          <t>м3</t>
        </is>
      </c>
      <c r="S8" s="495" t="n"/>
      <c r="T8" s="495" t="n"/>
      <c r="U8" s="495" t="inlineStr">
        <is>
          <t>СВ-1.2</t>
        </is>
      </c>
      <c r="V8" s="495" t="n">
        <v>1</v>
      </c>
      <c r="W8" s="0" t="n">
        <v>5.329</v>
      </c>
    </row>
    <row r="9" s="1227">
      <c r="A9" s="421" t="n"/>
      <c r="B9" s="421" t="inlineStr">
        <is>
          <t>13АВ-РД-АР1.1-К6</t>
        </is>
      </c>
      <c r="C9" s="453" t="n">
        <v>46009</v>
      </c>
      <c r="D9" s="421" t="inlineStr">
        <is>
          <t>Кладка</t>
        </is>
      </c>
      <c r="E9" s="421" t="n"/>
      <c r="F9" s="487" t="inlineStr">
        <is>
          <t>Внутренние стены из газобетонных блоков D600 200 мм</t>
        </is>
      </c>
      <c r="G9" s="421" t="inlineStr">
        <is>
          <t>Корпус 6</t>
        </is>
      </c>
      <c r="H9" s="421" t="n"/>
      <c r="I9" s="421" t="n"/>
      <c r="J9" s="514" t="n"/>
      <c r="K9" s="454" t="inlineStr">
        <is>
          <t>Примыкание к перекрытию</t>
        </is>
      </c>
      <c r="L9" s="421" t="inlineStr">
        <is>
          <t>м.п.</t>
        </is>
      </c>
      <c r="M9" s="421" t="n">
        <v>0</v>
      </c>
      <c r="N9" s="505">
        <f>W9</f>
        <v/>
      </c>
      <c r="O9" s="421" t="n">
        <v>0</v>
      </c>
      <c r="P9" s="421" t="n">
        <v>0</v>
      </c>
      <c r="Q9" s="456">
        <f>N9*V9</f>
        <v/>
      </c>
      <c r="R9" s="421" t="inlineStr">
        <is>
          <t>м.п.</t>
        </is>
      </c>
      <c r="S9" s="421" t="n"/>
      <c r="T9" s="421" t="n"/>
      <c r="U9" s="421" t="inlineStr">
        <is>
          <t>СВ-1.2</t>
        </is>
      </c>
      <c r="V9" s="421" t="n">
        <v>1</v>
      </c>
      <c r="W9" s="0" t="n">
        <v>52.5575</v>
      </c>
    </row>
    <row r="10" s="1227">
      <c r="A10" s="421" t="inlineStr">
        <is>
          <t>мат.</t>
        </is>
      </c>
      <c r="B10" s="421" t="inlineStr">
        <is>
          <t>13АВ-РД-АР1.1-К6</t>
        </is>
      </c>
      <c r="C10" s="453" t="n">
        <v>46009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200 мм</t>
        </is>
      </c>
      <c r="G10" s="421" t="inlineStr">
        <is>
          <t>Корпус 6</t>
        </is>
      </c>
      <c r="H10" s="421" t="n"/>
      <c r="I10" s="421" t="n"/>
      <c r="J10" s="504">
        <f>M10</f>
        <v/>
      </c>
      <c r="K10" s="454" t="inlineStr">
        <is>
          <t>Уголок 40х4 ГОСТ 8509-93</t>
        </is>
      </c>
      <c r="L10" s="421" t="inlineStr">
        <is>
          <t>т</t>
        </is>
      </c>
      <c r="M10" s="505" t="n">
        <v>1.786212</v>
      </c>
      <c r="N10" s="505" t="n"/>
      <c r="O10" s="421" t="n"/>
      <c r="P10" s="421" t="n"/>
      <c r="Q10" s="456" t="n"/>
      <c r="R10" s="421" t="n"/>
      <c r="S10" s="421" t="n"/>
      <c r="T10" s="421" t="n"/>
      <c r="U10" s="487" t="inlineStr">
        <is>
          <t>ПР-1, ПР-4. Принимается значение по спецификации, пересчет не выполняется</t>
        </is>
      </c>
      <c r="V10" s="421" t="n"/>
    </row>
    <row r="11" s="1227">
      <c r="A11" s="421" t="inlineStr">
        <is>
          <t>мат.</t>
        </is>
      </c>
      <c r="B11" s="421" t="inlineStr">
        <is>
          <t>13АВ-РД-АР1.1-К6</t>
        </is>
      </c>
      <c r="C11" s="453" t="n">
        <v>46009</v>
      </c>
      <c r="D11" s="421" t="inlineStr">
        <is>
          <t>Кладка</t>
        </is>
      </c>
      <c r="E11" s="421" t="inlineStr">
        <is>
          <t>БАЗА</t>
        </is>
      </c>
      <c r="F11" s="487" t="inlineStr">
        <is>
          <t>Перемычки внутренних стен 200 мм</t>
        </is>
      </c>
      <c r="G11" s="421" t="inlineStr">
        <is>
          <t>Корпус 6</t>
        </is>
      </c>
      <c r="H11" s="421" t="n"/>
      <c r="I11" s="421" t="n"/>
      <c r="J11" s="504">
        <f>M11</f>
        <v/>
      </c>
      <c r="K11" s="454" t="inlineStr">
        <is>
          <t>Пластина 40x4 ГОСТ 103-2006</t>
        </is>
      </c>
      <c r="L11" s="421" t="inlineStr">
        <is>
          <t>т</t>
        </is>
      </c>
      <c r="M11" s="505" t="n">
        <v>0.063114</v>
      </c>
      <c r="N11" s="505" t="n"/>
      <c r="O11" s="421" t="n"/>
      <c r="P11" s="421" t="n"/>
      <c r="Q11" s="456" t="n"/>
      <c r="R11" s="421" t="n"/>
      <c r="S11" s="421" t="n"/>
      <c r="T11" s="421" t="n"/>
      <c r="U11" s="487" t="inlineStr">
        <is>
          <t>ПР-1, ПР-4. Принимается значение по спецификации, пересчет не выполняется</t>
        </is>
      </c>
      <c r="V11" s="421" t="n"/>
    </row>
    <row r="12" s="1227">
      <c r="A12" s="421" t="inlineStr">
        <is>
          <t>мат.</t>
        </is>
      </c>
      <c r="B12" s="421" t="inlineStr">
        <is>
          <t>13АВ-РД-АР1.1-К6</t>
        </is>
      </c>
      <c r="C12" s="453" t="n">
        <v>46009</v>
      </c>
      <c r="D12" s="421" t="inlineStr">
        <is>
          <t>Кладка</t>
        </is>
      </c>
      <c r="E12" s="421" t="inlineStr">
        <is>
          <t>БАЗА</t>
        </is>
      </c>
      <c r="F12" s="487" t="inlineStr">
        <is>
          <t>Перемычки внутренних стен 200 мм</t>
        </is>
      </c>
      <c r="G12" s="421" t="inlineStr">
        <is>
          <t>Корпус 6</t>
        </is>
      </c>
      <c r="H12" s="421" t="n"/>
      <c r="I12" s="421" t="n"/>
      <c r="J12" s="504">
        <f>M12</f>
        <v/>
      </c>
      <c r="K12" s="454" t="inlineStr">
        <is>
          <t>Уголок 80х6 ГОСТ 8509-93</t>
        </is>
      </c>
      <c r="L12" s="421" t="inlineStr">
        <is>
          <t>т</t>
        </is>
      </c>
      <c r="M12" s="505" t="n">
        <v>0.026496</v>
      </c>
      <c r="N12" s="505" t="n"/>
      <c r="O12" s="421" t="n"/>
      <c r="P12" s="421" t="n"/>
      <c r="Q12" s="456" t="n"/>
      <c r="R12" s="421" t="n"/>
      <c r="S12" s="421" t="n"/>
      <c r="T12" s="421" t="n"/>
      <c r="U12" s="487" t="inlineStr">
        <is>
          <t>ПР-1, ПР-4. Принимается значение по спецификации, пересчет не выполняется</t>
        </is>
      </c>
      <c r="V12" s="421" t="n"/>
    </row>
    <row r="13" s="1227">
      <c r="A13" s="421" t="inlineStr">
        <is>
          <t>мат.</t>
        </is>
      </c>
      <c r="B13" s="421" t="inlineStr">
        <is>
          <t>13АВ-РД-АР1.1-К6</t>
        </is>
      </c>
      <c r="C13" s="453" t="n">
        <v>46009</v>
      </c>
      <c r="D13" s="421" t="inlineStr">
        <is>
          <t>Кладка</t>
        </is>
      </c>
      <c r="E13" s="421" t="n"/>
      <c r="F13" s="487" t="inlineStr">
        <is>
          <t>Перемычки внутренних стен 200 мм</t>
        </is>
      </c>
      <c r="G13" s="421" t="inlineStr">
        <is>
          <t>Корпус 6</t>
        </is>
      </c>
      <c r="H13" s="421" t="n"/>
      <c r="I13" s="421" t="n"/>
      <c r="J13" s="514" t="n"/>
      <c r="K13" s="454" t="inlineStr">
        <is>
          <t>Анкер-шпилька Hilti HST M 10х100</t>
        </is>
      </c>
      <c r="L13" s="421" t="inlineStr">
        <is>
          <t>шт</t>
        </is>
      </c>
      <c r="M13" s="545" t="n">
        <v>36</v>
      </c>
      <c r="N13" s="505" t="n"/>
      <c r="O13" s="421" t="n"/>
      <c r="P13" s="421" t="n"/>
      <c r="Q13" s="456" t="n"/>
      <c r="R13" s="421" t="n"/>
      <c r="S13" s="421" t="n"/>
      <c r="T13" s="421" t="n"/>
      <c r="U13" s="487" t="inlineStr">
        <is>
          <t>ПР-1, ПР-4. Принимается значение по спецификации, пересчет не выполняется</t>
        </is>
      </c>
      <c r="V13" s="421" t="n"/>
    </row>
    <row r="14" s="1227">
      <c r="A14" s="495" t="inlineStr">
        <is>
          <t>мат.</t>
        </is>
      </c>
      <c r="B14" s="495" t="inlineStr">
        <is>
          <t>13АВ-РД-АР1.1-К6</t>
        </is>
      </c>
      <c r="C14" s="496" t="n">
        <v>46009</v>
      </c>
      <c r="D14" s="495" t="inlineStr">
        <is>
          <t>Кладка</t>
        </is>
      </c>
      <c r="E14" s="495" t="inlineStr">
        <is>
          <t>БАЗА</t>
        </is>
      </c>
      <c r="F14" s="497" t="inlineStr">
        <is>
          <t>Внутренние стены из газобетонных блоков D600 150 мм</t>
        </is>
      </c>
      <c r="G14" s="495" t="inlineStr">
        <is>
          <t>Корпус 6</t>
        </is>
      </c>
      <c r="H14" s="495" t="n"/>
      <c r="I14" s="495" t="n"/>
      <c r="J14" s="498">
        <f>Q14</f>
        <v/>
      </c>
      <c r="K14" s="499" t="inlineStr">
        <is>
          <t>Газобетонные блоки D600 толщиной 150 мм ГОСТ 31359-2024</t>
        </is>
      </c>
      <c r="L14" s="495" t="inlineStr">
        <is>
          <t>м3</t>
        </is>
      </c>
      <c r="M14" s="545" t="n">
        <v>73.3</v>
      </c>
      <c r="N14" s="505">
        <f>W14</f>
        <v/>
      </c>
      <c r="O14" s="495" t="n">
        <v>0</v>
      </c>
      <c r="P14" s="495" t="n">
        <v>0</v>
      </c>
      <c r="Q14" s="502">
        <f>N14*V14</f>
        <v/>
      </c>
      <c r="R14" s="495" t="inlineStr">
        <is>
          <t>м3</t>
        </is>
      </c>
      <c r="S14" s="495" t="n"/>
      <c r="T14" s="495" t="n"/>
      <c r="U14" s="495" t="inlineStr">
        <is>
          <t>СВ-1.3</t>
        </is>
      </c>
      <c r="V14" s="495" t="n">
        <v>1</v>
      </c>
      <c r="W14" s="0" t="n">
        <v>0.229</v>
      </c>
    </row>
    <row r="15" s="1227">
      <c r="A15" s="421" t="n"/>
      <c r="B15" s="421" t="inlineStr">
        <is>
          <t>13АВ-РД-АР1.1-К6</t>
        </is>
      </c>
      <c r="C15" s="453" t="n">
        <v>46009</v>
      </c>
      <c r="D15" s="421" t="inlineStr">
        <is>
          <t>Кладка</t>
        </is>
      </c>
      <c r="E15" s="421" t="n"/>
      <c r="F15" s="487" t="inlineStr">
        <is>
          <t>Внутренние стены из газобетонных блоков D600 150 мм</t>
        </is>
      </c>
      <c r="G15" s="421" t="inlineStr">
        <is>
          <t>Корпус 6</t>
        </is>
      </c>
      <c r="H15" s="421" t="n"/>
      <c r="I15" s="421" t="n"/>
      <c r="J15" s="514" t="n"/>
      <c r="K15" s="454" t="inlineStr">
        <is>
          <t>Примыкание к перекрытию</t>
        </is>
      </c>
      <c r="L15" s="421" t="inlineStr">
        <is>
          <t>м.п.</t>
        </is>
      </c>
      <c r="M15" s="421" t="n">
        <v>0</v>
      </c>
      <c r="N15" s="505">
        <f>W15</f>
        <v/>
      </c>
      <c r="O15" s="421" t="n">
        <v>0</v>
      </c>
      <c r="P15" s="421" t="n">
        <v>0</v>
      </c>
      <c r="Q15" s="456">
        <f>N15*V15</f>
        <v/>
      </c>
      <c r="R15" s="421" t="inlineStr">
        <is>
          <t>м.п.</t>
        </is>
      </c>
      <c r="S15" s="421" t="n"/>
      <c r="T15" s="421" t="n"/>
      <c r="U15" s="421" t="inlineStr">
        <is>
          <t>СВ-1.3</t>
        </is>
      </c>
      <c r="V15" s="421" t="n">
        <v>1</v>
      </c>
      <c r="W15" s="0" t="n">
        <v>7.05</v>
      </c>
    </row>
    <row r="16" s="1227">
      <c r="A16" s="421" t="inlineStr">
        <is>
          <t>мат.</t>
        </is>
      </c>
      <c r="B16" s="421" t="inlineStr">
        <is>
          <t>13АВ-РД-АР1.1-К6</t>
        </is>
      </c>
      <c r="C16" s="453" t="n">
        <v>46009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Перемычки внутренних стен 150 мм</t>
        </is>
      </c>
      <c r="G16" s="421" t="inlineStr">
        <is>
          <t>Корпус 6</t>
        </is>
      </c>
      <c r="H16" s="421" t="n"/>
      <c r="I16" s="421" t="n"/>
      <c r="J16" s="504">
        <f>M16</f>
        <v/>
      </c>
      <c r="K16" s="454" t="inlineStr">
        <is>
          <t>Уголок 40х4 ГОСТ 8509-93</t>
        </is>
      </c>
      <c r="L16" s="421" t="inlineStr">
        <is>
          <t>т</t>
        </is>
      </c>
      <c r="M16" s="505" t="n">
        <v>0.305748</v>
      </c>
      <c r="N16" s="505" t="n"/>
      <c r="O16" s="421" t="n"/>
      <c r="P16" s="421" t="n"/>
      <c r="Q16" s="456" t="n"/>
      <c r="R16" s="421" t="n"/>
      <c r="S16" s="421" t="n"/>
      <c r="T16" s="421" t="n"/>
      <c r="U16" s="487" t="inlineStr">
        <is>
          <t>ПР-9 Принимается значение по спецификации, пересчет не выполняется</t>
        </is>
      </c>
      <c r="V16" s="421" t="n"/>
    </row>
    <row r="17">
      <c r="A17" s="495" t="inlineStr">
        <is>
          <t>мат.</t>
        </is>
      </c>
      <c r="B17" s="495" t="inlineStr">
        <is>
          <t>13АВ-РД-АР1.1-К6</t>
        </is>
      </c>
      <c r="C17" s="496" t="n">
        <v>46009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Шахты МОП из газобетонных блоков D600 100 мм</t>
        </is>
      </c>
      <c r="G17" s="495" t="inlineStr">
        <is>
          <t>Корпус 6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100 мм ГОСТ 31359-2024</t>
        </is>
      </c>
      <c r="L17" s="495" t="inlineStr">
        <is>
          <t>м2</t>
        </is>
      </c>
      <c r="M17" s="545" t="n">
        <v>16.11</v>
      </c>
      <c r="N17" s="505">
        <f>W17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м2</t>
        </is>
      </c>
      <c r="S17" s="495" t="n"/>
      <c r="T17" s="495" t="n"/>
      <c r="U17" s="495" t="inlineStr">
        <is>
          <t>СВ-1.4</t>
        </is>
      </c>
      <c r="V17" s="495" t="n">
        <v>1</v>
      </c>
      <c r="W17" s="0" t="n">
        <v>30.845</v>
      </c>
    </row>
    <row r="18" s="1227">
      <c r="A18" s="421" t="n"/>
      <c r="B18" s="421" t="inlineStr">
        <is>
          <t>13АВ-РД-АР1.1-К6</t>
        </is>
      </c>
      <c r="C18" s="453" t="n">
        <v>46009</v>
      </c>
      <c r="D18" s="421" t="inlineStr">
        <is>
          <t>Кладка</t>
        </is>
      </c>
      <c r="E18" s="421" t="n"/>
      <c r="F18" s="487" t="inlineStr">
        <is>
          <t>Шахты МОП из газобетонных блоков D600 100 мм</t>
        </is>
      </c>
      <c r="G18" s="421" t="inlineStr">
        <is>
          <t>Корпус 6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05">
        <f>W18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СВ-1.4</t>
        </is>
      </c>
      <c r="V18" s="421" t="n">
        <v>1</v>
      </c>
      <c r="W18" s="0" t="n">
        <v>0.775</v>
      </c>
    </row>
    <row r="19" s="1227">
      <c r="A19" s="495" t="inlineStr">
        <is>
          <t>мат.</t>
        </is>
      </c>
      <c r="B19" s="495" t="inlineStr">
        <is>
          <t>13АВ-РД-АР1.1-К6</t>
        </is>
      </c>
      <c r="C19" s="496" t="n">
        <v>46009</v>
      </c>
      <c r="D19" s="495" t="inlineStr">
        <is>
          <t>Кладка</t>
        </is>
      </c>
      <c r="E19" s="495" t="inlineStr">
        <is>
          <t>БАЗА</t>
        </is>
      </c>
      <c r="F19" s="497" t="inlineStr">
        <is>
          <t>Внутренние стены из газобетонных блоков D600 225 мм</t>
        </is>
      </c>
      <c r="G19" s="495" t="inlineStr">
        <is>
          <t>Корпус 6</t>
        </is>
      </c>
      <c r="H19" s="495" t="n"/>
      <c r="I19" s="495" t="n"/>
      <c r="J19" s="498">
        <f>Q19</f>
        <v/>
      </c>
      <c r="K19" s="499" t="inlineStr">
        <is>
          <t>Газобетонные блоки D600 толщиной 225 мм ГОСТ 31359-2024</t>
        </is>
      </c>
      <c r="L19" s="495" t="inlineStr">
        <is>
          <t>м3</t>
        </is>
      </c>
      <c r="M19" s="545" t="n">
        <v>6.4</v>
      </c>
      <c r="N19" s="505">
        <f>W19</f>
        <v/>
      </c>
      <c r="O19" s="495" t="n">
        <v>0</v>
      </c>
      <c r="P19" s="495" t="n">
        <v>0</v>
      </c>
      <c r="Q19" s="502">
        <f>N19*V19</f>
        <v/>
      </c>
      <c r="R19" s="495" t="inlineStr">
        <is>
          <t>м3</t>
        </is>
      </c>
      <c r="S19" s="495" t="n"/>
      <c r="T19" s="495" t="n"/>
      <c r="U19" s="495" t="inlineStr">
        <is>
          <t>СВ-1.5</t>
        </is>
      </c>
      <c r="V19" s="495" t="n">
        <v>1</v>
      </c>
      <c r="W19" s="0" t="n">
        <v>1.066666667</v>
      </c>
    </row>
    <row r="20" s="1227">
      <c r="A20" s="421" t="n"/>
      <c r="B20" s="421" t="inlineStr">
        <is>
          <t>13АВ-РД-АР1.1-К6</t>
        </is>
      </c>
      <c r="C20" s="453" t="n">
        <v>46009</v>
      </c>
      <c r="D20" s="421" t="inlineStr">
        <is>
          <t>Кладка</t>
        </is>
      </c>
      <c r="E20" s="421" t="n"/>
      <c r="F20" s="487" t="inlineStr">
        <is>
          <t>Внутренние стены из газобетонных блоков D600 225 мм</t>
        </is>
      </c>
      <c r="G20" s="421" t="inlineStr">
        <is>
          <t>Корпус 6</t>
        </is>
      </c>
      <c r="H20" s="421" t="n"/>
      <c r="I20" s="421" t="n"/>
      <c r="J20" s="514" t="n"/>
      <c r="K20" s="454" t="inlineStr">
        <is>
          <t>Примыкание к перекрытию</t>
        </is>
      </c>
      <c r="L20" s="421" t="inlineStr">
        <is>
          <t>м.п.</t>
        </is>
      </c>
      <c r="M20" s="421" t="n">
        <v>0</v>
      </c>
      <c r="N20" s="505">
        <f>W20</f>
        <v/>
      </c>
      <c r="O20" s="421" t="n">
        <v>0</v>
      </c>
      <c r="P20" s="421" t="n">
        <v>0</v>
      </c>
      <c r="Q20" s="456">
        <f>N20*V20</f>
        <v/>
      </c>
      <c r="R20" s="421" t="inlineStr">
        <is>
          <t>м.п.</t>
        </is>
      </c>
      <c r="S20" s="421" t="n"/>
      <c r="T20" s="421" t="n"/>
      <c r="U20" s="421" t="inlineStr">
        <is>
          <t>СВ-1.5</t>
        </is>
      </c>
      <c r="V20" s="421" t="n">
        <v>1</v>
      </c>
      <c r="W20" s="0" t="n">
        <v>1.325</v>
      </c>
    </row>
    <row r="21" s="1227">
      <c r="A21" s="421" t="inlineStr">
        <is>
          <t>мат.</t>
        </is>
      </c>
      <c r="B21" s="421" t="inlineStr">
        <is>
          <t>13АВ-РД-АР1.1-К6</t>
        </is>
      </c>
      <c r="C21" s="453" t="n">
        <v>46009</v>
      </c>
      <c r="D21" s="421" t="inlineStr">
        <is>
          <t>Кладка</t>
        </is>
      </c>
      <c r="E21" s="421" t="inlineStr">
        <is>
          <t>БАЗА</t>
        </is>
      </c>
      <c r="F21" s="487" t="inlineStr">
        <is>
          <t>Перемычки внутренних стен 225 мм</t>
        </is>
      </c>
      <c r="G21" s="421" t="inlineStr">
        <is>
          <t>Корпус 6</t>
        </is>
      </c>
      <c r="H21" s="421" t="n"/>
      <c r="I21" s="421" t="n"/>
      <c r="J21" s="504">
        <f>M21</f>
        <v/>
      </c>
      <c r="K21" s="454" t="inlineStr">
        <is>
          <t>Уголок 40х4 ГОСТ 8509-93</t>
        </is>
      </c>
      <c r="L21" s="421" t="inlineStr">
        <is>
          <t>т</t>
        </is>
      </c>
      <c r="M21" s="505">
        <f>(20*8.94)/1000</f>
        <v/>
      </c>
      <c r="N21" s="505" t="n"/>
      <c r="O21" s="421" t="n"/>
      <c r="P21" s="421" t="n"/>
      <c r="Q21" s="456" t="n"/>
      <c r="R21" s="421" t="n"/>
      <c r="S21" s="421" t="n"/>
      <c r="T21" s="421" t="n"/>
      <c r="U21" s="487" t="inlineStr">
        <is>
          <t>ПР-2. Принимается значение по спецификации, пересчет не выполняется</t>
        </is>
      </c>
      <c r="V21" s="421" t="n"/>
    </row>
    <row r="22" s="1227">
      <c r="A22" s="421" t="inlineStr">
        <is>
          <t>мат.</t>
        </is>
      </c>
      <c r="B22" s="421" t="inlineStr">
        <is>
          <t>13АВ-РД-АР1.1-К6</t>
        </is>
      </c>
      <c r="C22" s="453" t="n">
        <v>46009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Перемычки внутренних стен 225 мм</t>
        </is>
      </c>
      <c r="G22" s="421" t="inlineStr">
        <is>
          <t>Корпус 6</t>
        </is>
      </c>
      <c r="H22" s="421" t="n"/>
      <c r="I22" s="421" t="n"/>
      <c r="J22" s="504">
        <f>M22</f>
        <v/>
      </c>
      <c r="K22" s="454" t="inlineStr">
        <is>
          <t>Пластина 40x4 ГОСТ 103-2006</t>
        </is>
      </c>
      <c r="L22" s="421" t="inlineStr">
        <is>
          <t>т</t>
        </is>
      </c>
      <c r="M22" s="505" t="n">
        <v>0.00741825</v>
      </c>
      <c r="N22" s="505" t="n"/>
      <c r="O22" s="421" t="n"/>
      <c r="P22" s="421" t="n"/>
      <c r="Q22" s="456" t="n"/>
      <c r="R22" s="421" t="n"/>
      <c r="S22" s="421" t="n"/>
      <c r="T22" s="421" t="n"/>
      <c r="U22" s="487" t="inlineStr">
        <is>
          <t>ПР-2. Принимается значение по спецификации, пересчет не выполняется</t>
        </is>
      </c>
      <c r="V22" s="421" t="n"/>
    </row>
    <row r="23" s="1227">
      <c r="A23" s="495" t="inlineStr">
        <is>
          <t>мат.</t>
        </is>
      </c>
      <c r="B23" s="495" t="inlineStr">
        <is>
          <t>13АВ-РД-АР1.1-К6</t>
        </is>
      </c>
      <c r="C23" s="496" t="n">
        <v>46009</v>
      </c>
      <c r="D23" s="495" t="inlineStr">
        <is>
          <t>Кладка</t>
        </is>
      </c>
      <c r="E23" s="495" t="inlineStr">
        <is>
          <t>БАЗА</t>
        </is>
      </c>
      <c r="F23" s="497" t="inlineStr">
        <is>
          <t>Шахты внутриквартирные из плит ПСП толщиной 80 мм</t>
        </is>
      </c>
      <c r="G23" s="495" t="inlineStr">
        <is>
          <t>Корпус 6</t>
        </is>
      </c>
      <c r="H23" s="495" t="n"/>
      <c r="I23" s="495" t="n"/>
      <c r="J23" s="498">
        <f>Q23</f>
        <v/>
      </c>
      <c r="K23" s="499" t="inlineStr">
        <is>
          <t>Влагостойкие силикатные полнотелые пазогребневые плиты ПСП толщиной 80 мм ГОСТ 379-2015</t>
        </is>
      </c>
      <c r="L23" s="495" t="inlineStr">
        <is>
          <t>м2</t>
        </is>
      </c>
      <c r="M23" s="495" t="n">
        <v>5126.59</v>
      </c>
      <c r="N23" s="502">
        <f>W23</f>
        <v/>
      </c>
      <c r="O23" s="495" t="n">
        <v>0</v>
      </c>
      <c r="P23" s="495" t="n">
        <v>0</v>
      </c>
      <c r="Q23" s="502">
        <f>N23*V23</f>
        <v/>
      </c>
      <c r="R23" s="495" t="inlineStr">
        <is>
          <t>м2</t>
        </is>
      </c>
      <c r="S23" s="495" t="n"/>
      <c r="T23" s="495" t="n"/>
      <c r="U23" s="495" t="inlineStr">
        <is>
          <t>СВ-2.1</t>
        </is>
      </c>
      <c r="V23" s="495" t="n">
        <v>1</v>
      </c>
      <c r="W23" s="0" t="n">
        <v>38.13</v>
      </c>
    </row>
    <row r="24" s="1227">
      <c r="A24" s="421" t="n"/>
      <c r="B24" s="421" t="inlineStr">
        <is>
          <t>13АВ-РД-АР1.1-К6</t>
        </is>
      </c>
      <c r="C24" s="453" t="n">
        <v>46009</v>
      </c>
      <c r="D24" s="421" t="inlineStr">
        <is>
          <t>Кладка</t>
        </is>
      </c>
      <c r="E24" s="421" t="n"/>
      <c r="F24" s="487" t="inlineStr">
        <is>
          <t>Шахты внутриквартирные из плит ПСП толщиной 80 мм</t>
        </is>
      </c>
      <c r="G24" s="421" t="inlineStr">
        <is>
          <t>Корпус 6</t>
        </is>
      </c>
      <c r="H24" s="421" t="n"/>
      <c r="I24" s="421" t="n"/>
      <c r="J24" s="514" t="n"/>
      <c r="K24" s="454" t="inlineStr">
        <is>
          <t>Примыкание к перекрытию</t>
        </is>
      </c>
      <c r="L24" s="421" t="inlineStr">
        <is>
          <t>м.п.</t>
        </is>
      </c>
      <c r="M24" s="421" t="n">
        <v>0</v>
      </c>
      <c r="N24" s="505">
        <f>W24</f>
        <v/>
      </c>
      <c r="O24" s="421" t="n">
        <v>0</v>
      </c>
      <c r="P24" s="421" t="n">
        <v>0</v>
      </c>
      <c r="Q24" s="456">
        <f>N24*V24</f>
        <v/>
      </c>
      <c r="R24" s="421" t="inlineStr">
        <is>
          <t>м.п.</t>
        </is>
      </c>
      <c r="S24" s="421" t="n"/>
      <c r="T24" s="421" t="n"/>
      <c r="U24" s="421" t="inlineStr">
        <is>
          <t>СВ-2.1</t>
        </is>
      </c>
      <c r="V24" s="421" t="n">
        <v>1</v>
      </c>
      <c r="W24" s="0" t="n">
        <v>14.354</v>
      </c>
    </row>
    <row r="25" s="1227">
      <c r="A25" s="495" t="inlineStr">
        <is>
          <t>мат.</t>
        </is>
      </c>
      <c r="B25" s="495" t="inlineStr">
        <is>
          <t>13АВ-РД-АР1.1-К6</t>
        </is>
      </c>
      <c r="C25" s="496" t="n">
        <v>46009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Перегородки внутриквартирные из влагостойких плит ПСП толщиной 80 мм</t>
        </is>
      </c>
      <c r="G25" s="495" t="inlineStr">
        <is>
          <t>Корпус 6</t>
        </is>
      </c>
      <c r="H25" s="495" t="n"/>
      <c r="I25" s="495" t="n"/>
      <c r="J25" s="498">
        <f>Q25</f>
        <v/>
      </c>
      <c r="K25" s="499" t="inlineStr">
        <is>
          <t>Влагостойкие силикатные полнотелые пазогребневые плиты ПСП толщиной 80 мм ГОСТ 379-2015</t>
        </is>
      </c>
      <c r="L25" s="495" t="inlineStr">
        <is>
          <t>м2</t>
        </is>
      </c>
      <c r="M25" s="495">
        <f>5171.8-M23</f>
        <v/>
      </c>
      <c r="N25" s="502">
        <f>W25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СВ-2.1</t>
        </is>
      </c>
      <c r="V25" s="495" t="n">
        <v>1</v>
      </c>
      <c r="W25" s="0" t="n">
        <v>136.18</v>
      </c>
    </row>
    <row r="26" s="1227">
      <c r="A26" s="421" t="n"/>
      <c r="B26" s="421" t="inlineStr">
        <is>
          <t>13АВ-РД-АР1.1-К6</t>
        </is>
      </c>
      <c r="C26" s="453" t="n">
        <v>46009</v>
      </c>
      <c r="D26" s="421" t="inlineStr">
        <is>
          <t>Кладка</t>
        </is>
      </c>
      <c r="E26" s="421" t="n"/>
      <c r="F26" s="487" t="inlineStr">
        <is>
          <t>Перегородки внутриквартирные из влагостойких плит ПСП толщиной 80 мм</t>
        </is>
      </c>
      <c r="G26" s="421" t="inlineStr">
        <is>
          <t>Корпус 6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505">
        <f>W26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СВ-2.1</t>
        </is>
      </c>
      <c r="V26" s="421" t="n">
        <v>1</v>
      </c>
      <c r="W26" s="0" t="n">
        <v>51.996</v>
      </c>
    </row>
    <row r="27" s="1227">
      <c r="A27" s="421" t="inlineStr">
        <is>
          <t>мат.</t>
        </is>
      </c>
      <c r="B27" s="421" t="inlineStr">
        <is>
          <t>13АВ-РД-АР1.1-К6</t>
        </is>
      </c>
      <c r="C27" s="453" t="n">
        <v>46009</v>
      </c>
      <c r="D27" s="421" t="inlineStr">
        <is>
          <t>Кладка</t>
        </is>
      </c>
      <c r="E27" s="421" t="inlineStr">
        <is>
          <t>БАЗА</t>
        </is>
      </c>
      <c r="F27" s="487" t="inlineStr">
        <is>
          <t>Перемычки внутриквартирных перегородок из влагостойких ПСП</t>
        </is>
      </c>
      <c r="G27" s="421" t="inlineStr">
        <is>
          <t>Корпус 6</t>
        </is>
      </c>
      <c r="H27" s="421" t="n"/>
      <c r="I27" s="421" t="n"/>
      <c r="J27" s="504">
        <f>M27</f>
        <v/>
      </c>
      <c r="K27" s="454" t="inlineStr">
        <is>
          <t>Уголок 75х6 ГОСТ 8509-93</t>
        </is>
      </c>
      <c r="L27" s="421" t="inlineStr">
        <is>
          <t>т</t>
        </is>
      </c>
      <c r="M27" s="505" t="n">
        <v>2.579616</v>
      </c>
      <c r="N27" s="505" t="n"/>
      <c r="O27" s="421" t="n"/>
      <c r="P27" s="421" t="n"/>
      <c r="Q27" s="456" t="n"/>
      <c r="R27" s="421" t="n"/>
      <c r="S27" s="421" t="n"/>
      <c r="T27" s="421" t="n"/>
      <c r="U27" s="487" t="inlineStr">
        <is>
          <t>ПР-6. Принимается значение по спецификации, пересчет не выполняется</t>
        </is>
      </c>
      <c r="V27" s="421" t="n"/>
    </row>
    <row r="28" s="1227">
      <c r="A28" s="495" t="inlineStr">
        <is>
          <t>мат.</t>
        </is>
      </c>
      <c r="B28" s="495" t="inlineStr">
        <is>
          <t>13АВ-РД-АР1.1-К6</t>
        </is>
      </c>
      <c r="C28" s="496" t="n">
        <v>46009</v>
      </c>
      <c r="D28" s="495" t="inlineStr">
        <is>
          <t>Кладка</t>
        </is>
      </c>
      <c r="E28" s="495" t="inlineStr">
        <is>
          <t>БАЗА</t>
        </is>
      </c>
      <c r="F28" s="497" t="inlineStr">
        <is>
          <t>Перегородки внутриквартирные из плит ПГП толщиной 80 мм</t>
        </is>
      </c>
      <c r="G28" s="495" t="inlineStr">
        <is>
          <t>Корпус 6</t>
        </is>
      </c>
      <c r="H28" s="495" t="n"/>
      <c r="I28" s="495" t="n"/>
      <c r="J28" s="498">
        <f>Q28</f>
        <v/>
      </c>
      <c r="K28" s="499" t="inlineStr">
        <is>
          <t>Силикатные полнотелые пазогребневые плиты ПГП толщиной 80 мм плотностью 1950 кг/м3 ГОСТ 379-2015</t>
        </is>
      </c>
      <c r="L28" s="495" t="inlineStr">
        <is>
          <t>м2</t>
        </is>
      </c>
      <c r="M28" s="545" t="n">
        <v>4445.57</v>
      </c>
      <c r="N28" s="502">
        <f>W28</f>
        <v/>
      </c>
      <c r="O28" s="495" t="n">
        <v>0</v>
      </c>
      <c r="P28" s="495" t="n">
        <v>0</v>
      </c>
      <c r="Q28" s="502">
        <f>N28*V28</f>
        <v/>
      </c>
      <c r="R28" s="495" t="inlineStr">
        <is>
          <t>м2</t>
        </is>
      </c>
      <c r="S28" s="495" t="n"/>
      <c r="T28" s="495" t="n"/>
      <c r="U28" s="497" t="inlineStr">
        <is>
          <t>СВ-2.2</t>
        </is>
      </c>
      <c r="V28" s="495" t="n">
        <v>1</v>
      </c>
      <c r="W28" s="0" t="n">
        <v>11.804</v>
      </c>
    </row>
    <row r="29" s="1227">
      <c r="A29" s="421" t="n"/>
      <c r="B29" s="421" t="inlineStr">
        <is>
          <t>13АВ-РД-АР1.1-К6</t>
        </is>
      </c>
      <c r="C29" s="453" t="n">
        <v>46009</v>
      </c>
      <c r="D29" s="421" t="inlineStr">
        <is>
          <t>Кладка</t>
        </is>
      </c>
      <c r="E29" s="421" t="n"/>
      <c r="F29" s="487" t="inlineStr">
        <is>
          <t>Перегородки внутриквартирные из плит ПГП толщиной 80 мм</t>
        </is>
      </c>
      <c r="G29" s="421" t="inlineStr">
        <is>
          <t>Корпус 6</t>
        </is>
      </c>
      <c r="H29" s="421" t="n"/>
      <c r="I29" s="421" t="n"/>
      <c r="J29" s="514" t="n"/>
      <c r="K29" s="454" t="inlineStr">
        <is>
          <t>Примыкание к перекрытию</t>
        </is>
      </c>
      <c r="L29" s="421" t="inlineStr">
        <is>
          <t>м.п.</t>
        </is>
      </c>
      <c r="M29" s="421" t="n">
        <v>0</v>
      </c>
      <c r="N29" s="505">
        <f>W29</f>
        <v/>
      </c>
      <c r="O29" s="421" t="n">
        <v>0</v>
      </c>
      <c r="P29" s="421" t="n">
        <v>0</v>
      </c>
      <c r="Q29" s="456">
        <f>N29*V29</f>
        <v/>
      </c>
      <c r="R29" s="421" t="inlineStr">
        <is>
          <t>м.п.</t>
        </is>
      </c>
      <c r="S29" s="421" t="n"/>
      <c r="T29" s="421" t="n"/>
      <c r="U29" s="421" t="inlineStr">
        <is>
          <t>СВ-2.2</t>
        </is>
      </c>
      <c r="V29" s="421" t="n">
        <v>1</v>
      </c>
      <c r="W29" s="0" t="n">
        <v>73.91511300000001</v>
      </c>
    </row>
    <row r="30" s="1227">
      <c r="A30" s="421" t="inlineStr">
        <is>
          <t>мат.</t>
        </is>
      </c>
      <c r="B30" s="421" t="inlineStr">
        <is>
          <t>13АВ-РД-АР1.1-К6</t>
        </is>
      </c>
      <c r="C30" s="453" t="n">
        <v>46009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внутриквартирных перегородок из ПГП</t>
        </is>
      </c>
      <c r="G30" s="421" t="inlineStr">
        <is>
          <t>Корпус 6</t>
        </is>
      </c>
      <c r="H30" s="421" t="n"/>
      <c r="I30" s="421" t="n"/>
      <c r="J30" s="504">
        <f>M30</f>
        <v/>
      </c>
      <c r="K30" s="454" t="inlineStr">
        <is>
          <t>Уголок 75х6 ГОСТ 8509-93</t>
        </is>
      </c>
      <c r="L30" s="421" t="inlineStr">
        <is>
          <t>т</t>
        </is>
      </c>
      <c r="M30" s="505" t="n">
        <v>3.5668152</v>
      </c>
      <c r="N30" s="505" t="n"/>
      <c r="O30" s="421" t="n"/>
      <c r="P30" s="421" t="n"/>
      <c r="Q30" s="456" t="n"/>
      <c r="R30" s="421" t="n"/>
      <c r="S30" s="421" t="n"/>
      <c r="T30" s="421" t="n"/>
      <c r="U30" s="487" t="inlineStr">
        <is>
          <t>ПР-5, ПР-6, ПР-7, ПР-8. Принимается значение по спецификации, пересчет не выполняется</t>
        </is>
      </c>
      <c r="V30" s="421" t="n"/>
    </row>
    <row r="31" s="1227">
      <c r="A31" s="421" t="inlineStr">
        <is>
          <t>мат.</t>
        </is>
      </c>
      <c r="B31" s="421" t="inlineStr">
        <is>
          <t>13АВ-РД-АР1.1-К6</t>
        </is>
      </c>
      <c r="C31" s="453" t="n">
        <v>46009</v>
      </c>
      <c r="D31" s="421" t="inlineStr">
        <is>
          <t>Кладка</t>
        </is>
      </c>
      <c r="E31" s="421" t="n"/>
      <c r="F31" s="487" t="inlineStr">
        <is>
          <t>Перемычки внутриквартирных перегородок из ПГП</t>
        </is>
      </c>
      <c r="G31" s="421" t="inlineStr">
        <is>
          <t>Корпус 6</t>
        </is>
      </c>
      <c r="H31" s="421" t="n"/>
      <c r="I31" s="421" t="n"/>
      <c r="J31" s="514" t="n"/>
      <c r="K31" s="454" t="inlineStr">
        <is>
          <t>Анкер-шпилька Hilti HST M 10х100</t>
        </is>
      </c>
      <c r="L31" s="421" t="inlineStr">
        <is>
          <t>шт</t>
        </is>
      </c>
      <c r="M31" s="545" t="n">
        <v>161</v>
      </c>
      <c r="N31" s="505" t="n"/>
      <c r="O31" s="421" t="n"/>
      <c r="P31" s="421" t="n"/>
      <c r="Q31" s="456" t="n"/>
      <c r="R31" s="421" t="n"/>
      <c r="S31" s="421" t="n"/>
      <c r="T31" s="421" t="n"/>
      <c r="U31" s="487" t="inlineStr">
        <is>
          <t>ПР-8. Принимается значение по спецификации, пересчет не выполняется</t>
        </is>
      </c>
      <c r="V31" s="421" t="n"/>
    </row>
    <row r="32" s="1227">
      <c r="A32" s="495" t="inlineStr">
        <is>
          <t>мат.</t>
        </is>
      </c>
      <c r="B32" s="495" t="inlineStr">
        <is>
          <t>13АВ-РД-АР1.1-К6</t>
        </is>
      </c>
      <c r="C32" s="496" t="n">
        <v>46009</v>
      </c>
      <c r="D32" s="495" t="inlineStr">
        <is>
          <t>Кладка</t>
        </is>
      </c>
      <c r="E32" s="495" t="inlineStr">
        <is>
          <t>БАЗА</t>
        </is>
      </c>
      <c r="F32" s="497" t="inlineStr">
        <is>
          <t>Внутренние стены из бетонных камней 190 мм</t>
        </is>
      </c>
      <c r="G32" s="495" t="inlineStr">
        <is>
          <t>Корпус 6</t>
        </is>
      </c>
      <c r="H32" s="495" t="n"/>
      <c r="I32" s="495" t="n"/>
      <c r="J32" s="498">
        <f>Q32</f>
        <v/>
      </c>
      <c r="K32" s="499" t="inlineStr">
        <is>
          <t>Камни бетонные полнотелые толщиной 190 мм ГОСТ 6133-2019</t>
        </is>
      </c>
      <c r="L32" s="495" t="inlineStr">
        <is>
          <t>м3</t>
        </is>
      </c>
      <c r="M32" s="495" t="n">
        <v>38.9</v>
      </c>
      <c r="N32" s="505">
        <f>W32</f>
        <v/>
      </c>
      <c r="O32" s="495" t="n">
        <v>0</v>
      </c>
      <c r="P32" s="495" t="n">
        <v>0</v>
      </c>
      <c r="Q32" s="502">
        <f>N32*V32</f>
        <v/>
      </c>
      <c r="R32" s="495" t="inlineStr">
        <is>
          <t>м3</t>
        </is>
      </c>
      <c r="S32" s="495" t="n"/>
      <c r="T32" s="495" t="n"/>
      <c r="U32" s="495" t="inlineStr">
        <is>
          <t>СВ-3.1</t>
        </is>
      </c>
      <c r="V32" s="495" t="n">
        <v>1</v>
      </c>
      <c r="W32" s="0" t="n">
        <v>1.35</v>
      </c>
    </row>
    <row r="33" s="1227">
      <c r="A33" s="421" t="n"/>
      <c r="B33" s="421" t="inlineStr">
        <is>
          <t>13АВ-РД-АР1.1-К6</t>
        </is>
      </c>
      <c r="C33" s="453" t="n">
        <v>46009</v>
      </c>
      <c r="D33" s="421" t="inlineStr">
        <is>
          <t>Кладка</t>
        </is>
      </c>
      <c r="E33" s="421" t="n"/>
      <c r="F33" s="487" t="inlineStr">
        <is>
          <t>Внутренние стены из бетонных камней 190 мм</t>
        </is>
      </c>
      <c r="G33" s="421" t="inlineStr">
        <is>
          <t>Корпус 6</t>
        </is>
      </c>
      <c r="H33" s="421" t="n"/>
      <c r="I33" s="421" t="n"/>
      <c r="J33" s="514" t="n"/>
      <c r="K33" s="454" t="inlineStr">
        <is>
          <t>Примыкание к перекрытию</t>
        </is>
      </c>
      <c r="L33" s="421" t="inlineStr">
        <is>
          <t>м.п.</t>
        </is>
      </c>
      <c r="M33" s="421" t="n">
        <v>0</v>
      </c>
      <c r="N33" s="456">
        <f>W33</f>
        <v/>
      </c>
      <c r="O33" s="421" t="n">
        <v>0</v>
      </c>
      <c r="P33" s="421" t="n">
        <v>0</v>
      </c>
      <c r="Q33" s="456">
        <f>N33*V33</f>
        <v/>
      </c>
      <c r="R33" s="421" t="inlineStr">
        <is>
          <t>м.п.</t>
        </is>
      </c>
      <c r="S33" s="421" t="n"/>
      <c r="T33" s="421" t="n"/>
      <c r="U33" s="421" t="inlineStr">
        <is>
          <t>СВ-3.1</t>
        </is>
      </c>
      <c r="V33" s="421" t="n">
        <v>1</v>
      </c>
      <c r="W33" s="0" t="n">
        <v>8</v>
      </c>
    </row>
    <row r="34" s="1227">
      <c r="A34" s="495" t="inlineStr">
        <is>
          <t>мат.</t>
        </is>
      </c>
      <c r="B34" s="495" t="inlineStr">
        <is>
          <t>13АВ-РД-АР1.1-К6</t>
        </is>
      </c>
      <c r="C34" s="496" t="n">
        <v>46009</v>
      </c>
      <c r="D34" s="495" t="inlineStr">
        <is>
          <t>Кладка</t>
        </is>
      </c>
      <c r="E34" s="495" t="inlineStr">
        <is>
          <t>БАЗА</t>
        </is>
      </c>
      <c r="F34" s="497" t="inlineStr">
        <is>
          <t>Шахты из бетонных камней 120 мм</t>
        </is>
      </c>
      <c r="G34" s="495" t="inlineStr">
        <is>
          <t>Корпус 6</t>
        </is>
      </c>
      <c r="H34" s="495" t="n"/>
      <c r="I34" s="495" t="n"/>
      <c r="J34" s="498">
        <f>Q34</f>
        <v/>
      </c>
      <c r="K34" s="499" t="inlineStr">
        <is>
          <t>Камни бетонные полнотелые толщиной 120 мм ГОСТ 6133-2019</t>
        </is>
      </c>
      <c r="L34" s="495" t="inlineStr">
        <is>
          <t>м3</t>
        </is>
      </c>
      <c r="M34" s="495" t="n">
        <v>11.58</v>
      </c>
      <c r="N34" s="505">
        <f>W34</f>
        <v/>
      </c>
      <c r="O34" s="495" t="n">
        <v>0</v>
      </c>
      <c r="P34" s="495" t="n">
        <v>0</v>
      </c>
      <c r="Q34" s="502">
        <f>N34*V34</f>
        <v/>
      </c>
      <c r="R34" s="495" t="inlineStr">
        <is>
          <t>м3</t>
        </is>
      </c>
      <c r="S34" s="495" t="n"/>
      <c r="T34" s="495" t="n"/>
      <c r="U34" s="495" t="inlineStr">
        <is>
          <t>СВ-3.2</t>
        </is>
      </c>
      <c r="V34" s="495" t="n">
        <v>1</v>
      </c>
      <c r="W34" s="0" t="n">
        <v>0.44</v>
      </c>
    </row>
    <row r="35" s="1227">
      <c r="A35" s="421" t="n"/>
      <c r="B35" s="421" t="inlineStr">
        <is>
          <t>13АВ-РД-АР1.1-К6</t>
        </is>
      </c>
      <c r="C35" s="453" t="n">
        <v>46009</v>
      </c>
      <c r="D35" s="421" t="inlineStr">
        <is>
          <t>Кладка</t>
        </is>
      </c>
      <c r="E35" s="421" t="n"/>
      <c r="F35" s="487" t="inlineStr">
        <is>
          <t>Шахты из бетонных камней 120 мм</t>
        </is>
      </c>
      <c r="G35" s="421" t="inlineStr">
        <is>
          <t>Корпус 6</t>
        </is>
      </c>
      <c r="H35" s="421" t="n"/>
      <c r="I35" s="421" t="n"/>
      <c r="J35" s="514" t="n"/>
      <c r="K35" s="454" t="inlineStr">
        <is>
          <t>Примыкание к перекрытию</t>
        </is>
      </c>
      <c r="L35" s="421" t="inlineStr">
        <is>
          <t>м.п.</t>
        </is>
      </c>
      <c r="M35" s="421" t="n">
        <v>0</v>
      </c>
      <c r="N35" s="505">
        <f>W35</f>
        <v/>
      </c>
      <c r="O35" s="421" t="n">
        <v>0</v>
      </c>
      <c r="P35" s="421" t="n">
        <v>0</v>
      </c>
      <c r="Q35" s="456">
        <f>N35*V35</f>
        <v/>
      </c>
      <c r="R35" s="421" t="inlineStr">
        <is>
          <t>м.п.</t>
        </is>
      </c>
      <c r="S35" s="421" t="n"/>
      <c r="T35" s="421" t="n"/>
      <c r="U35" s="421" t="inlineStr">
        <is>
          <t>СВ-3.2</t>
        </is>
      </c>
      <c r="V35" s="421" t="n">
        <v>1</v>
      </c>
      <c r="W35" s="0" t="n">
        <v>1.2</v>
      </c>
    </row>
    <row r="36" s="1227">
      <c r="A36" s="495" t="inlineStr">
        <is>
          <t>мат.</t>
        </is>
      </c>
      <c r="B36" s="495" t="inlineStr">
        <is>
          <t>13АВ-РД-АР1.1-К6</t>
        </is>
      </c>
      <c r="C36" s="496" t="n">
        <v>46009</v>
      </c>
      <c r="D36" s="495" t="inlineStr">
        <is>
          <t>Кладка</t>
        </is>
      </c>
      <c r="E36" s="495" t="inlineStr">
        <is>
          <t>БАЗА</t>
        </is>
      </c>
      <c r="F36" s="497" t="inlineStr">
        <is>
          <t>Шахты из бетонных камней 100 мм</t>
        </is>
      </c>
      <c r="G36" s="495" t="inlineStr">
        <is>
          <t>Корпус 6</t>
        </is>
      </c>
      <c r="H36" s="495" t="n"/>
      <c r="I36" s="495" t="n"/>
      <c r="J36" s="498">
        <f>Q36</f>
        <v/>
      </c>
      <c r="K36" s="499" t="inlineStr">
        <is>
          <t>Камни бетонные полнотелые толщиной 100 мм ГОСТ 6133-2019</t>
        </is>
      </c>
      <c r="L36" s="495" t="inlineStr">
        <is>
          <t>м3</t>
        </is>
      </c>
      <c r="M36" s="495" t="n">
        <v>37.03</v>
      </c>
      <c r="N36" s="505">
        <f>W36</f>
        <v/>
      </c>
      <c r="O36" s="495" t="n">
        <v>0</v>
      </c>
      <c r="P36" s="495" t="n">
        <v>0</v>
      </c>
      <c r="Q36" s="502">
        <f>N36*V36</f>
        <v/>
      </c>
      <c r="R36" s="495" t="inlineStr">
        <is>
          <t>м3</t>
        </is>
      </c>
      <c r="S36" s="495" t="n"/>
      <c r="T36" s="495" t="n"/>
      <c r="U36" s="495" t="inlineStr">
        <is>
          <t>СВ-3.3</t>
        </is>
      </c>
      <c r="V36" s="495" t="n">
        <v>1</v>
      </c>
      <c r="W36" s="0" t="n">
        <v>2.333</v>
      </c>
    </row>
    <row r="37" s="1227">
      <c r="A37" s="421" t="n"/>
      <c r="B37" s="421" t="inlineStr">
        <is>
          <t>13АВ-РД-АР1.1-К6</t>
        </is>
      </c>
      <c r="C37" s="453" t="n">
        <v>46009</v>
      </c>
      <c r="D37" s="421" t="inlineStr">
        <is>
          <t>Кладка</t>
        </is>
      </c>
      <c r="E37" s="421" t="n"/>
      <c r="F37" s="487" t="inlineStr">
        <is>
          <t>Шахты из бетонных камней 100 мм</t>
        </is>
      </c>
      <c r="G37" s="421" t="inlineStr">
        <is>
          <t>Корпус 6</t>
        </is>
      </c>
      <c r="H37" s="421" t="n"/>
      <c r="I37" s="421" t="n"/>
      <c r="J37" s="514" t="n"/>
      <c r="K37" s="454" t="inlineStr">
        <is>
          <t>Примыкание к перекрытию</t>
        </is>
      </c>
      <c r="L37" s="421" t="inlineStr">
        <is>
          <t>м.п.</t>
        </is>
      </c>
      <c r="M37" s="421" t="n">
        <v>0</v>
      </c>
      <c r="N37" s="456">
        <f>W37</f>
        <v/>
      </c>
      <c r="O37" s="421" t="n">
        <v>0</v>
      </c>
      <c r="P37" s="421" t="n">
        <v>0</v>
      </c>
      <c r="Q37" s="456">
        <f>N37*V37</f>
        <v/>
      </c>
      <c r="R37" s="421" t="inlineStr">
        <is>
          <t>м.п.</t>
        </is>
      </c>
      <c r="S37" s="421" t="n"/>
      <c r="T37" s="421" t="n"/>
      <c r="U37" s="421" t="inlineStr">
        <is>
          <t>СВ-3.3</t>
        </is>
      </c>
      <c r="V37" s="421" t="n">
        <v>1</v>
      </c>
      <c r="W37" s="0" t="n">
        <v>5.12</v>
      </c>
    </row>
    <row r="38" s="1227">
      <c r="A38" s="495" t="inlineStr">
        <is>
          <t>мат.</t>
        </is>
      </c>
      <c r="B38" s="495" t="inlineStr">
        <is>
          <t>13АВ-РД-АР1.1-К6</t>
        </is>
      </c>
      <c r="C38" s="496" t="n">
        <v>46009</v>
      </c>
      <c r="D38" s="495" t="inlineStr">
        <is>
          <t>Кладка</t>
        </is>
      </c>
      <c r="E38" s="495" t="inlineStr">
        <is>
          <t>БАЗА</t>
        </is>
      </c>
      <c r="F38" s="497" t="inlineStr">
        <is>
          <t>Наружные стены из газобетонных блоков D600 300 мм</t>
        </is>
      </c>
      <c r="G38" s="495" t="inlineStr">
        <is>
          <t>Корпус 6</t>
        </is>
      </c>
      <c r="H38" s="495" t="n"/>
      <c r="I38" s="495" t="n"/>
      <c r="J38" s="498">
        <f>Q38</f>
        <v/>
      </c>
      <c r="K38" s="499" t="inlineStr">
        <is>
          <t>Газобетонные блоки D600 толщиной 300 мм ГОСТ 31359-2024</t>
        </is>
      </c>
      <c r="L38" s="495" t="inlineStr">
        <is>
          <t>м3</t>
        </is>
      </c>
      <c r="M38" s="495" t="n">
        <v>12.21</v>
      </c>
      <c r="N38" s="505">
        <f>W38</f>
        <v/>
      </c>
      <c r="O38" s="495" t="n">
        <v>0</v>
      </c>
      <c r="P38" s="495" t="n">
        <v>0</v>
      </c>
      <c r="Q38" s="502">
        <f>N38*V38</f>
        <v/>
      </c>
      <c r="R38" s="495" t="inlineStr">
        <is>
          <t>м3</t>
        </is>
      </c>
      <c r="S38" s="495" t="n"/>
      <c r="T38" s="495" t="n"/>
      <c r="U38" s="495" t="inlineStr">
        <is>
          <t>СН-1.1</t>
        </is>
      </c>
      <c r="V38" s="495" t="n">
        <v>1</v>
      </c>
      <c r="W38" s="0" t="n">
        <v>2.328</v>
      </c>
    </row>
    <row r="39" s="1227">
      <c r="A39" s="421" t="n"/>
      <c r="B39" s="421" t="inlineStr">
        <is>
          <t>13АВ-РД-АР1.1-К6</t>
        </is>
      </c>
      <c r="C39" s="453" t="n">
        <v>46009</v>
      </c>
      <c r="D39" s="421" t="inlineStr">
        <is>
          <t>Кладка</t>
        </is>
      </c>
      <c r="E39" s="421" t="n"/>
      <c r="F39" s="487" t="inlineStr">
        <is>
          <t>Наружные стены из газобетонных блоков D600 300 мм</t>
        </is>
      </c>
      <c r="G39" s="421" t="inlineStr">
        <is>
          <t>Корпус 6</t>
        </is>
      </c>
      <c r="H39" s="421" t="n"/>
      <c r="I39" s="421" t="n"/>
      <c r="J39" s="514" t="n"/>
      <c r="K39" s="454" t="inlineStr">
        <is>
          <t>Примыкание к перекрытию</t>
        </is>
      </c>
      <c r="L39" s="421" t="inlineStr">
        <is>
          <t>м.п.</t>
        </is>
      </c>
      <c r="M39" s="421" t="n">
        <v>0</v>
      </c>
      <c r="N39" s="505">
        <f>W39</f>
        <v/>
      </c>
      <c r="O39" s="421" t="n">
        <v>0</v>
      </c>
      <c r="P39" s="421" t="n">
        <v>0</v>
      </c>
      <c r="Q39" s="456">
        <f>N39*V39</f>
        <v/>
      </c>
      <c r="R39" s="421" t="inlineStr">
        <is>
          <t>м.п.</t>
        </is>
      </c>
      <c r="S39" s="421" t="n"/>
      <c r="T39" s="421" t="n"/>
      <c r="U39" s="421" t="inlineStr">
        <is>
          <t>СН-1.1</t>
        </is>
      </c>
      <c r="V39" s="421" t="n">
        <v>1</v>
      </c>
      <c r="W39" s="0" t="n">
        <v>0.905</v>
      </c>
    </row>
    <row r="40" s="1227">
      <c r="A40" s="495" t="inlineStr">
        <is>
          <t>мат.</t>
        </is>
      </c>
      <c r="B40" s="495" t="inlineStr">
        <is>
          <t>13АВ-РД-АР1.1-К6</t>
        </is>
      </c>
      <c r="C40" s="496" t="n">
        <v>46009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Наружные стены из газобетонных блоков D600 250 мм</t>
        </is>
      </c>
      <c r="G40" s="495" t="inlineStr">
        <is>
          <t>Корпус 6</t>
        </is>
      </c>
      <c r="H40" s="495" t="n"/>
      <c r="I40" s="495" t="n"/>
      <c r="J40" s="498">
        <f>Q40</f>
        <v/>
      </c>
      <c r="K40" s="499" t="inlineStr">
        <is>
          <t>Газобетонные блоки D600 толщиной 250 мм ГОСТ 31359-2024</t>
        </is>
      </c>
      <c r="L40" s="495" t="inlineStr">
        <is>
          <t>м3</t>
        </is>
      </c>
      <c r="M40" s="545" t="n">
        <v>440.3</v>
      </c>
      <c r="N40" s="505">
        <f>W40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м3</t>
        </is>
      </c>
      <c r="S40" s="495" t="n"/>
      <c r="T40" s="495" t="n"/>
      <c r="U40" s="495" t="inlineStr">
        <is>
          <t>СН-1.2</t>
        </is>
      </c>
      <c r="V40" s="495" t="n">
        <v>1</v>
      </c>
      <c r="W40" s="0" t="n">
        <v>0.669</v>
      </c>
    </row>
    <row r="41" s="1227">
      <c r="A41" s="421" t="n"/>
      <c r="B41" s="421" t="inlineStr">
        <is>
          <t>13АВ-РД-АР1.1-К6</t>
        </is>
      </c>
      <c r="C41" s="453" t="n">
        <v>46009</v>
      </c>
      <c r="D41" s="421" t="inlineStr">
        <is>
          <t>Кладка</t>
        </is>
      </c>
      <c r="E41" s="421" t="n"/>
      <c r="F41" s="487" t="inlineStr">
        <is>
          <t>Наружные стены из газобетонных блоков D600 250 мм</t>
        </is>
      </c>
      <c r="G41" s="421" t="inlineStr">
        <is>
          <t>Корпус 6</t>
        </is>
      </c>
      <c r="H41" s="421" t="n"/>
      <c r="I41" s="421" t="n"/>
      <c r="J41" s="514" t="n"/>
      <c r="K41" s="454" t="inlineStr">
        <is>
          <t>Примыкание к перекрытию</t>
        </is>
      </c>
      <c r="L41" s="421" t="inlineStr">
        <is>
          <t>м.п.</t>
        </is>
      </c>
      <c r="M41" s="421" t="n">
        <v>0</v>
      </c>
      <c r="N41" s="456">
        <f>W41</f>
        <v/>
      </c>
      <c r="O41" s="421" t="n">
        <v>0</v>
      </c>
      <c r="P41" s="421" t="n">
        <v>0</v>
      </c>
      <c r="Q41" s="456">
        <f>N41*V41</f>
        <v/>
      </c>
      <c r="R41" s="421" t="inlineStr">
        <is>
          <t>м.п.</t>
        </is>
      </c>
      <c r="S41" s="421" t="n"/>
      <c r="T41" s="421" t="n"/>
      <c r="U41" s="421" t="inlineStr">
        <is>
          <t>СН-1.2</t>
        </is>
      </c>
      <c r="V41" s="421" t="n">
        <v>1</v>
      </c>
      <c r="W41" s="0" t="n">
        <v>65.455</v>
      </c>
    </row>
    <row r="42" s="1227">
      <c r="A42" s="495" t="inlineStr">
        <is>
          <t>мат.</t>
        </is>
      </c>
      <c r="B42" s="495" t="inlineStr">
        <is>
          <t>13АВ-РД-АР1.1-К6</t>
        </is>
      </c>
      <c r="C42" s="496" t="n">
        <v>46009</v>
      </c>
      <c r="D42" s="495" t="inlineStr">
        <is>
          <t>Кладка</t>
        </is>
      </c>
      <c r="E42" s="495" t="inlineStr">
        <is>
          <t>БАЗА</t>
        </is>
      </c>
      <c r="F42" s="497" t="inlineStr">
        <is>
          <t>Наружные стены из металлокаркаса с обшивкой Аквапанель</t>
        </is>
      </c>
      <c r="G42" s="495" t="inlineStr">
        <is>
          <t>Корпус 6</t>
        </is>
      </c>
      <c r="H42" s="495" t="n"/>
      <c r="I42" s="495" t="n"/>
      <c r="J42" s="498">
        <f>Q42</f>
        <v/>
      </c>
      <c r="K42" s="499" t="inlineStr">
        <is>
          <t>Металлический каркас (труба квадратного сечения) с обшивкой цементной плитой по типу Аквапанель</t>
        </is>
      </c>
      <c r="L42" s="495" t="inlineStr">
        <is>
          <t>м2</t>
        </is>
      </c>
      <c r="M42" s="545" t="n">
        <v>159.24</v>
      </c>
      <c r="N42" s="505">
        <f>W42</f>
        <v/>
      </c>
      <c r="O42" s="495" t="n">
        <v>0</v>
      </c>
      <c r="P42" s="495" t="n">
        <v>0</v>
      </c>
      <c r="Q42" s="502">
        <f>N42*V42</f>
        <v/>
      </c>
      <c r="R42" s="495" t="inlineStr">
        <is>
          <t>м2</t>
        </is>
      </c>
      <c r="S42" s="495" t="n"/>
      <c r="T42" s="495" t="n"/>
      <c r="U42" s="495" t="inlineStr">
        <is>
          <t>СН-2.1</t>
        </is>
      </c>
      <c r="V42" s="495" t="n">
        <v>1</v>
      </c>
      <c r="W42" s="0" t="n">
        <v>6.666666667</v>
      </c>
    </row>
    <row r="43" s="1227">
      <c r="A43" s="421" t="n"/>
      <c r="B43" s="421" t="inlineStr">
        <is>
          <t>13АВ-РД-АР1.1-К6</t>
        </is>
      </c>
      <c r="C43" s="453" t="n">
        <v>46009</v>
      </c>
      <c r="D43" s="421" t="inlineStr">
        <is>
          <t>Кладка</t>
        </is>
      </c>
      <c r="E43" s="421" t="n"/>
      <c r="F43" s="487" t="inlineStr">
        <is>
          <t>Наружные стены из металлокаркаса с обшивкой Аквапанель</t>
        </is>
      </c>
      <c r="G43" s="421" t="inlineStr">
        <is>
          <t>Корпус 6</t>
        </is>
      </c>
      <c r="H43" s="421" t="n"/>
      <c r="I43" s="421" t="n"/>
      <c r="J43" s="514" t="n"/>
      <c r="K43" s="454" t="inlineStr">
        <is>
          <t>Примыкание к перекрытию</t>
        </is>
      </c>
      <c r="L43" s="421" t="inlineStr">
        <is>
          <t>м.п.</t>
        </is>
      </c>
      <c r="M43" s="421" t="n">
        <v>0</v>
      </c>
      <c r="N43" s="456">
        <f>W43</f>
        <v/>
      </c>
      <c r="O43" s="421" t="n">
        <v>0</v>
      </c>
      <c r="P43" s="421" t="n">
        <v>0</v>
      </c>
      <c r="Q43" s="456">
        <f>N43*V43</f>
        <v/>
      </c>
      <c r="R43" s="421" t="inlineStr">
        <is>
          <t>м.п.</t>
        </is>
      </c>
      <c r="S43" s="421" t="n"/>
      <c r="T43" s="421" t="n"/>
      <c r="U43" s="421" t="inlineStr">
        <is>
          <t>СН-2.1</t>
        </is>
      </c>
      <c r="V43" s="421" t="n">
        <v>1</v>
      </c>
      <c r="W43" s="0" t="n">
        <v>5.309988</v>
      </c>
    </row>
    <row r="44">
      <c r="A44" s="510" t="inlineStr">
        <is>
          <t>мат.</t>
        </is>
      </c>
      <c r="B44" s="510" t="inlineStr">
        <is>
          <t>13АВ-РД-АР1.1-К6</t>
        </is>
      </c>
      <c r="C44" s="509" t="n">
        <v>46009</v>
      </c>
      <c r="D44" s="510" t="inlineStr">
        <is>
          <t>Кладка</t>
        </is>
      </c>
      <c r="E44" s="510" t="inlineStr">
        <is>
          <t>БАЗА</t>
        </is>
      </c>
      <c r="F44" s="485" t="inlineStr">
        <is>
          <t>Утепление стен форкамер</t>
        </is>
      </c>
      <c r="G44" s="510" t="inlineStr">
        <is>
          <t>Корпус 6</t>
        </is>
      </c>
      <c r="H44" s="510" t="n"/>
      <c r="I44" s="510" t="n"/>
      <c r="J44" s="511">
        <f>Q44</f>
        <v/>
      </c>
      <c r="K44" s="512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4" s="510" t="inlineStr">
        <is>
          <t>м2</t>
        </is>
      </c>
      <c r="M44" s="510" t="n">
        <v>1109.47</v>
      </c>
      <c r="N44" s="513">
        <f>W44</f>
        <v/>
      </c>
      <c r="O44" s="510" t="n">
        <v>0</v>
      </c>
      <c r="P44" s="510" t="n">
        <v>0</v>
      </c>
      <c r="Q44" s="513">
        <f>N44*V44</f>
        <v/>
      </c>
      <c r="R44" s="510" t="inlineStr">
        <is>
          <t>м2</t>
        </is>
      </c>
      <c r="S44" s="510" t="n"/>
      <c r="T44" s="510" t="n"/>
      <c r="U44" s="510" t="inlineStr">
        <is>
          <t>Утепление форкамер</t>
        </is>
      </c>
      <c r="V44" s="510" t="n">
        <v>1</v>
      </c>
    </row>
    <row r="45">
      <c r="A45" s="495" t="inlineStr">
        <is>
          <t>мат.</t>
        </is>
      </c>
      <c r="B45" s="495" t="inlineStr">
        <is>
          <t>13АВ-РД-АР1.1-К6</t>
        </is>
      </c>
      <c r="C45" s="496" t="n">
        <v>46009</v>
      </c>
      <c r="D45" s="495" t="inlineStr">
        <is>
          <t>Кладка</t>
        </is>
      </c>
      <c r="E45" s="495" t="inlineStr">
        <is>
          <t>БАЗА</t>
        </is>
      </c>
      <c r="F45" s="497" t="inlineStr">
        <is>
          <t>Утепление лоджий</t>
        </is>
      </c>
      <c r="G45" s="495" t="inlineStr">
        <is>
          <t>Корпус 6</t>
        </is>
      </c>
      <c r="H45" s="495" t="n"/>
      <c r="I45" s="495" t="n"/>
      <c r="J45" s="498">
        <f>Q45</f>
        <v/>
      </c>
      <c r="K45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5" s="495" t="inlineStr">
        <is>
          <t>м2</t>
        </is>
      </c>
      <c r="M45" s="545" t="n">
        <v>470.73</v>
      </c>
      <c r="N45" s="505">
        <f>W45</f>
        <v/>
      </c>
      <c r="O45" s="495" t="n">
        <v>0</v>
      </c>
      <c r="P45" s="495" t="n">
        <v>0</v>
      </c>
      <c r="Q45" s="502">
        <f>N45*V45</f>
        <v/>
      </c>
      <c r="R45" s="495" t="inlineStr">
        <is>
          <t>м2</t>
        </is>
      </c>
      <c r="S45" s="495" t="n"/>
      <c r="T45" s="495" t="n"/>
      <c r="U45" s="497" t="inlineStr">
        <is>
          <t>Утепление лоджий У4, объём по модели ревит</t>
        </is>
      </c>
      <c r="V45" s="495" t="n">
        <v>1</v>
      </c>
      <c r="W45" s="0" t="n">
        <v>11.66666667</v>
      </c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21" t="n"/>
      <c r="N46" s="421" t="n"/>
      <c r="O46" s="421" t="n"/>
      <c r="P46" s="421" t="n"/>
      <c r="Q46" s="456" t="n"/>
      <c r="R46" s="421" t="n"/>
      <c r="S46" s="421" t="n"/>
      <c r="T46" s="421" t="n"/>
      <c r="U46" s="487" t="n"/>
      <c r="V46" s="421" t="n"/>
    </row>
    <row r="47">
      <c r="A47" s="495" t="inlineStr">
        <is>
          <t>мат.</t>
        </is>
      </c>
      <c r="B47" s="495" t="inlineStr">
        <is>
          <t>13АВ-РД-АР1.1-К6</t>
        </is>
      </c>
      <c r="C47" s="496" t="n">
        <v>46009</v>
      </c>
      <c r="D47" s="495" t="inlineStr">
        <is>
          <t>Кладка</t>
        </is>
      </c>
      <c r="E47" s="495" t="inlineStr">
        <is>
          <t>БАЗА</t>
        </is>
      </c>
      <c r="F47" s="497" t="inlineStr">
        <is>
          <t>Фахверк</t>
        </is>
      </c>
      <c r="G47" s="495" t="inlineStr">
        <is>
          <t>Корпус 6</t>
        </is>
      </c>
      <c r="H47" s="495" t="n"/>
      <c r="I47" s="495" t="n"/>
      <c r="J47" s="498">
        <f>Q47</f>
        <v/>
      </c>
      <c r="K47" s="499" t="inlineStr">
        <is>
          <t>Уголок 140×10, ГОСТ 8509-93/С245 ГОСТ 27772-2021</t>
        </is>
      </c>
      <c r="L47" s="495" t="inlineStr">
        <is>
          <t>т</t>
        </is>
      </c>
      <c r="M47" s="495">
        <f>(58.67*116+55.45*4+61.89*2+65.11*2)/1000</f>
        <v/>
      </c>
      <c r="N47" s="505">
        <f>W47</f>
        <v/>
      </c>
      <c r="O47" s="495" t="n">
        <v>0</v>
      </c>
      <c r="P47" s="495" t="n">
        <v>0</v>
      </c>
      <c r="Q47" s="502">
        <f>N47*V47</f>
        <v/>
      </c>
      <c r="R47" s="495" t="n"/>
      <c r="S47" s="495" t="n"/>
      <c r="T47" s="495" t="n"/>
      <c r="U47" s="497" t="inlineStr">
        <is>
          <t>Стф-1  L=2735мм, Стф-2 L=2585мм, Стф-3 L=2885мм, Стф-4  L=3035мм</t>
        </is>
      </c>
      <c r="V47" s="495" t="n">
        <v>1</v>
      </c>
      <c r="W47" s="0" t="n">
        <v>0.3519945</v>
      </c>
    </row>
    <row r="48">
      <c r="A48" s="495" t="inlineStr">
        <is>
          <t>мат.</t>
        </is>
      </c>
      <c r="B48" s="495" t="inlineStr">
        <is>
          <t>13АВ-РД-АР1.1-К6</t>
        </is>
      </c>
      <c r="C48" s="496" t="n">
        <v>46009</v>
      </c>
      <c r="D48" s="495" t="inlineStr">
        <is>
          <t>Кладка</t>
        </is>
      </c>
      <c r="E48" s="495" t="inlineStr">
        <is>
          <t>БАЗА</t>
        </is>
      </c>
      <c r="F48" s="497" t="inlineStr">
        <is>
          <t>Фахверк</t>
        </is>
      </c>
      <c r="G48" s="495" t="inlineStr">
        <is>
          <t>Корпус 6</t>
        </is>
      </c>
      <c r="H48" s="495" t="n"/>
      <c r="I48" s="495" t="n"/>
      <c r="J48" s="498">
        <f>Q48</f>
        <v/>
      </c>
      <c r="K48" s="499" t="inlineStr">
        <is>
          <t>Лист t10×140, ГОСТ 19903-2015/С245 ГОСТ 27772-2021</t>
        </is>
      </c>
      <c r="L48" s="495" t="inlineStr">
        <is>
          <t>т</t>
        </is>
      </c>
      <c r="M48" s="495">
        <f>((3.85*(116+4+2+2))+(3.14*(116+4+2+2))+(1.54*(116+4+2+2)))/1000</f>
        <v/>
      </c>
      <c r="N48" s="505">
        <f>W48</f>
        <v/>
      </c>
      <c r="O48" s="495" t="n">
        <v>0</v>
      </c>
      <c r="P48" s="495" t="n">
        <v>0</v>
      </c>
      <c r="Q48" s="502">
        <f>N48*V48</f>
        <v/>
      </c>
      <c r="R48" s="495" t="n"/>
      <c r="S48" s="495" t="n"/>
      <c r="T48" s="495" t="n"/>
      <c r="U48" s="497" t="inlineStr">
        <is>
          <t>Стф-1, Стф-2, Стф-3, Стф-4 (L=350мм, L=160мм, L=140мм)</t>
        </is>
      </c>
      <c r="V48" s="495" t="n">
        <v>1</v>
      </c>
      <c r="W48" s="0" t="n">
        <v>0.05118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Y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.75" customHeight="1"/>
  <cols>
    <col width="1.75" customWidth="1" style="1227" min="2" max="2"/>
    <col width="17.75" customWidth="1" style="1227" min="3" max="3"/>
    <col width="21.63" customWidth="1" style="1227" min="7" max="7"/>
    <col width="16.13" customWidth="1" style="1227" min="9" max="9"/>
    <col width="36.5" customWidth="1" style="1227" min="12" max="12"/>
    <col width="32.63" customWidth="1" style="1227" min="22" max="22"/>
    <col hidden="1" width="12.63" customWidth="1" style="1227" min="24" max="24"/>
  </cols>
  <sheetData>
    <row r="1">
      <c r="A1" s="564" t="inlineStr">
        <is>
          <t>Р</t>
        </is>
      </c>
      <c r="B1" s="564" t="n"/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Р</t>
        </is>
      </c>
      <c r="I1" s="564" t="inlineStr">
        <is>
          <t>С</t>
        </is>
      </c>
      <c r="J1" s="564" t="inlineStr">
        <is>
          <t>С</t>
        </is>
      </c>
      <c r="K1" s="564" t="inlineStr">
        <is>
          <t>Р</t>
        </is>
      </c>
      <c r="L1" s="524" t="inlineStr">
        <is>
          <t>Р</t>
        </is>
      </c>
      <c r="M1" s="564" t="inlineStr">
        <is>
          <t>Р</t>
        </is>
      </c>
      <c r="N1" s="423" t="inlineStr">
        <is>
          <t>Р</t>
        </is>
      </c>
      <c r="O1" s="423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Р</t>
        </is>
      </c>
      <c r="T1" s="564" t="inlineStr">
        <is>
          <t>С</t>
        </is>
      </c>
      <c r="U1" s="564" t="inlineStr">
        <is>
          <t>С</t>
        </is>
      </c>
      <c r="V1" s="564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inlineStr">
        <is>
          <t>Р</t>
        </is>
      </c>
      <c r="AO1" s="661" t="inlineStr">
        <is>
          <t>Р</t>
        </is>
      </c>
      <c r="AP1" s="661" t="inlineStr">
        <is>
          <t>Р</t>
        </is>
      </c>
      <c r="AQ1" s="661" t="inlineStr">
        <is>
          <t>Р</t>
        </is>
      </c>
      <c r="AR1" s="661" t="inlineStr">
        <is>
          <t>Р</t>
        </is>
      </c>
      <c r="AS1" s="661" t="inlineStr">
        <is>
          <t>Р</t>
        </is>
      </c>
      <c r="AT1" s="661" t="inlineStr">
        <is>
          <t>Р</t>
        </is>
      </c>
      <c r="AU1" s="661" t="inlineStr">
        <is>
          <t>Р</t>
        </is>
      </c>
      <c r="AV1" s="661" t="inlineStr">
        <is>
          <t>Р</t>
        </is>
      </c>
      <c r="AW1" s="661" t="inlineStr">
        <is>
          <t>Р</t>
        </is>
      </c>
      <c r="AX1" s="661" t="inlineStr">
        <is>
          <t>Р</t>
        </is>
      </c>
      <c r="AY1" s="661" t="inlineStr">
        <is>
          <t>Р</t>
        </is>
      </c>
    </row>
    <row r="2">
      <c r="A2" s="524" t="inlineStr">
        <is>
          <t>Поз.</t>
        </is>
      </c>
      <c r="B2" s="524" t="n"/>
      <c r="C2" s="524" t="inlineStr">
        <is>
          <t>Шифр проекта</t>
        </is>
      </c>
      <c r="D2" s="524" t="inlineStr">
        <is>
          <t>Дата выдачи РД или ИЗМа</t>
        </is>
      </c>
      <c r="E2" s="524" t="inlineStr">
        <is>
          <t>Система</t>
        </is>
      </c>
      <c r="F2" s="524" t="inlineStr">
        <is>
          <t>Указать базовый материал</t>
        </is>
      </c>
      <c r="G2" s="402" t="inlineStr">
        <is>
          <t>Вид работ</t>
        </is>
      </c>
      <c r="H2" s="524" t="inlineStr">
        <is>
          <t xml:space="preserve">Корпус </t>
        </is>
      </c>
      <c r="I2" s="524" t="inlineStr">
        <is>
          <t xml:space="preserve">Наименование Работ </t>
        </is>
      </c>
      <c r="J2" s="524" t="inlineStr">
        <is>
          <t>Ед. изм. работ</t>
        </is>
      </c>
      <c r="K2" s="524" t="inlineStr">
        <is>
          <t>Объем работ</t>
        </is>
      </c>
      <c r="L2" s="524" t="inlineStr">
        <is>
          <t>Наuменованuе u mехнuческая xapaкmepucmuкa</t>
        </is>
      </c>
      <c r="M2" s="524" t="inlineStr">
        <is>
          <t>Ед. изм. (РД)</t>
        </is>
      </c>
      <c r="N2" s="424" t="inlineStr">
        <is>
          <t>Кол-во по проекту (последняя версия)</t>
        </is>
      </c>
      <c r="O2" s="424" t="inlineStr">
        <is>
          <t>Итого в смету (в ед.изм РД)</t>
        </is>
      </c>
      <c r="P2" s="341" t="inlineStr">
        <is>
          <t>Добавлено по запросу площадки (Работы)</t>
        </is>
      </c>
      <c r="Q2" s="341" t="inlineStr">
        <is>
          <t>Добавлено по запросу площадки (только мат.)</t>
        </is>
      </c>
      <c r="R2" s="524" t="inlineStr">
        <is>
          <t>Итого в смету (в ед.изм номенклатур)</t>
        </is>
      </c>
      <c r="S2" s="524" t="inlineStr">
        <is>
          <t>Ед. изм. (НОМ.)</t>
        </is>
      </c>
      <c r="T2" s="524" t="inlineStr">
        <is>
          <t>Номенклатура</t>
        </is>
      </c>
      <c r="U2" s="524" t="inlineStr">
        <is>
          <t>Наименование производителя</t>
        </is>
      </c>
      <c r="V2" s="524" t="inlineStr">
        <is>
          <t>Примечание</t>
        </is>
      </c>
      <c r="W2" s="340" t="inlineStr">
        <is>
          <t>Коэф. расхода</t>
        </is>
      </c>
      <c r="X2" s="519" t="inlineStr">
        <is>
          <t>1</t>
        </is>
      </c>
      <c r="Y2" s="519" t="inlineStr">
        <is>
          <t>2</t>
        </is>
      </c>
      <c r="Z2" s="519" t="inlineStr">
        <is>
          <t>3</t>
        </is>
      </c>
      <c r="AA2" s="519" t="inlineStr">
        <is>
          <t>4</t>
        </is>
      </c>
      <c r="AB2" s="519" t="inlineStr">
        <is>
          <t>5</t>
        </is>
      </c>
      <c r="AC2" s="519" t="inlineStr">
        <is>
          <t>6</t>
        </is>
      </c>
      <c r="AD2" s="519" t="inlineStr">
        <is>
          <t>7</t>
        </is>
      </c>
      <c r="AE2" s="519" t="inlineStr">
        <is>
          <t>8</t>
        </is>
      </c>
      <c r="AF2" s="519" t="inlineStr">
        <is>
          <t>9</t>
        </is>
      </c>
      <c r="AG2" s="519" t="inlineStr">
        <is>
          <t>10</t>
        </is>
      </c>
      <c r="AH2" s="519" t="inlineStr">
        <is>
          <t>11</t>
        </is>
      </c>
      <c r="AI2" s="519" t="inlineStr">
        <is>
          <t>12</t>
        </is>
      </c>
      <c r="AJ2" s="519" t="inlineStr">
        <is>
          <t>13</t>
        </is>
      </c>
      <c r="AK2" s="519" t="inlineStr">
        <is>
          <t>14</t>
        </is>
      </c>
      <c r="AL2" s="519" t="inlineStr">
        <is>
          <t>15</t>
        </is>
      </c>
      <c r="AM2" s="519">
        <f>AL2+1</f>
        <v/>
      </c>
      <c r="AN2" s="519">
        <f>AM2+1</f>
        <v/>
      </c>
      <c r="AO2" s="519">
        <f>AN2+1</f>
        <v/>
      </c>
      <c r="AP2" s="519">
        <f>AO2+1</f>
        <v/>
      </c>
      <c r="AQ2" s="519">
        <f>AP2+1</f>
        <v/>
      </c>
      <c r="AR2" s="519">
        <f>AQ2+1</f>
        <v/>
      </c>
      <c r="AS2" s="519">
        <f>AR2+1</f>
        <v/>
      </c>
      <c r="AT2" s="519">
        <f>AS2+1</f>
        <v/>
      </c>
      <c r="AU2" s="519">
        <f>AT2+1</f>
        <v/>
      </c>
      <c r="AV2" s="519">
        <f>AU2+1</f>
        <v/>
      </c>
      <c r="AW2" s="519">
        <f>AV2+1</f>
        <v/>
      </c>
      <c r="AX2" s="519">
        <f>AW2+1</f>
        <v/>
      </c>
      <c r="AY2" s="519">
        <f>AX2+1</f>
        <v/>
      </c>
    </row>
    <row r="3">
      <c r="A3" s="343" t="inlineStr">
        <is>
          <t>мат. (чтобы материал попал в сводную)</t>
        </is>
      </c>
      <c r="B3" s="343" t="n"/>
      <c r="C3" s="343" t="inlineStr">
        <is>
          <t>ШИФР (проекта полностью)</t>
        </is>
      </c>
      <c r="D3" s="343" t="inlineStr">
        <is>
          <t>Дата выдачи комплекта</t>
        </is>
      </c>
      <c r="E3" s="343" t="inlineStr">
        <is>
          <t>Раздел</t>
        </is>
      </c>
      <c r="F3" s="343" t="inlineStr">
        <is>
          <t>Материал относительно которого считается объем работ</t>
        </is>
      </c>
      <c r="G3" s="404" t="inlineStr">
        <is>
          <t>Состав работ</t>
        </is>
      </c>
      <c r="H3" s="343" t="inlineStr">
        <is>
          <t>Номер корпуса</t>
        </is>
      </c>
      <c r="I3" s="343" t="inlineStr">
        <is>
          <t>Наименование работ под материал из 1С/договора субподряда</t>
        </is>
      </c>
      <c r="J3" s="343" t="n"/>
      <c r="K3" s="343" t="inlineStr">
        <is>
          <t>Объем работ на базовые материалы</t>
        </is>
      </c>
      <c r="L3" s="343" t="inlineStr">
        <is>
          <t>Все харрактеристики со спецификации по материалу</t>
        </is>
      </c>
      <c r="M3" s="343" t="inlineStr">
        <is>
          <t>Ед.изм по РД</t>
        </is>
      </c>
      <c r="N3" s="426" t="inlineStr">
        <is>
          <t>Кол-во со спецификации</t>
        </is>
      </c>
      <c r="O3" s="426" t="inlineStr">
        <is>
          <t>Кол-во по подсчету в ед.изм.РД (Сумма по этажам)</t>
        </is>
      </c>
      <c r="P3" s="343" t="n"/>
      <c r="Q3" s="343" t="n"/>
      <c r="R3" s="343" t="inlineStr">
        <is>
          <t>Итого с коэф.перевода</t>
        </is>
      </c>
      <c r="S3" s="343" t="inlineStr">
        <is>
          <t>ед. изм. НОМЕНКЛАТУРЫ</t>
        </is>
      </c>
      <c r="T3" s="343" t="inlineStr">
        <is>
          <t>Соответствующая позиции номенклатура</t>
        </is>
      </c>
      <c r="U3" s="343" t="inlineStr">
        <is>
          <t>Соответствующее наименование производителя</t>
        </is>
      </c>
      <c r="V3" s="343" t="inlineStr">
        <is>
          <t>Доп. информация</t>
        </is>
      </c>
      <c r="W3" s="343" t="n"/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  <c r="AO3" s="345" t="inlineStr">
        <is>
          <t>Кол-во на этаже</t>
        </is>
      </c>
      <c r="AP3" s="345" t="inlineStr">
        <is>
          <t>Кол-во на этаже</t>
        </is>
      </c>
      <c r="AQ3" s="345" t="inlineStr">
        <is>
          <t>Кол-во на этаже</t>
        </is>
      </c>
      <c r="AR3" s="345" t="inlineStr">
        <is>
          <t>Кол-во на этаже</t>
        </is>
      </c>
      <c r="AS3" s="345" t="inlineStr">
        <is>
          <t>Кол-во на этаже</t>
        </is>
      </c>
      <c r="AT3" s="345" t="inlineStr">
        <is>
          <t>Кол-во на этаже</t>
        </is>
      </c>
      <c r="AU3" s="345" t="inlineStr">
        <is>
          <t>Кол-во на этаже</t>
        </is>
      </c>
      <c r="AV3" s="345" t="inlineStr">
        <is>
          <t>Кол-во на этаже</t>
        </is>
      </c>
      <c r="AW3" s="345" t="inlineStr">
        <is>
          <t>Кол-во на этаже</t>
        </is>
      </c>
      <c r="AX3" s="345" t="inlineStr">
        <is>
          <t>Кол-во на этаже</t>
        </is>
      </c>
      <c r="AY3" s="345" t="inlineStr">
        <is>
          <t>Кол-во на этаже</t>
        </is>
      </c>
    </row>
    <row r="4">
      <c r="A4" s="464" t="n"/>
      <c r="B4" s="464" t="n"/>
      <c r="C4" s="464" t="n"/>
      <c r="D4" s="464" t="n"/>
      <c r="E4" s="464" t="n"/>
      <c r="F4" s="464" t="n"/>
      <c r="G4" s="464" t="n"/>
      <c r="H4" s="466" t="n"/>
      <c r="I4" s="466" t="n"/>
      <c r="J4" s="466" t="n"/>
      <c r="K4" s="546" t="n"/>
      <c r="L4" s="494" t="inlineStr">
        <is>
          <t>Наруж</t>
        </is>
      </c>
      <c r="M4" s="466" t="n"/>
      <c r="N4" s="466" t="n"/>
      <c r="O4" s="466" t="n"/>
      <c r="P4" s="469" t="n"/>
      <c r="Q4" s="469" t="n"/>
      <c r="R4" s="470" t="n"/>
      <c r="S4" s="466" t="n"/>
      <c r="T4" s="466" t="n"/>
      <c r="U4" s="466" t="n"/>
      <c r="V4" s="466" t="n"/>
      <c r="W4" s="466" t="n"/>
      <c r="X4" s="466" t="n"/>
      <c r="Y4" s="466" t="n"/>
      <c r="Z4" s="466" t="n"/>
      <c r="AA4" s="466" t="n"/>
      <c r="AB4" s="466" t="n"/>
      <c r="AC4" s="466" t="n"/>
      <c r="AD4" s="466" t="n"/>
      <c r="AE4" s="466" t="n"/>
      <c r="AF4" s="466" t="n"/>
      <c r="AG4" s="466" t="n"/>
      <c r="AH4" s="466" t="n"/>
      <c r="AI4" s="466" t="n"/>
      <c r="AJ4" s="466" t="n"/>
      <c r="AK4" s="466" t="n"/>
      <c r="AL4" s="466" t="n"/>
      <c r="AM4" s="466" t="n"/>
      <c r="AN4" s="466" t="n"/>
      <c r="AO4" s="466" t="n"/>
      <c r="AP4" s="466" t="n"/>
      <c r="AQ4" s="466" t="n"/>
      <c r="AR4" s="466" t="n"/>
      <c r="AS4" s="466" t="n"/>
      <c r="AT4" s="466" t="n"/>
      <c r="AU4" s="466" t="n"/>
      <c r="AV4" s="466" t="n"/>
      <c r="AW4" s="466" t="n"/>
      <c r="AX4" s="466" t="n"/>
      <c r="AY4" s="466" t="n"/>
    </row>
    <row r="5">
      <c r="A5" s="358" t="inlineStr">
        <is>
          <t>мат.</t>
        </is>
      </c>
      <c r="B5" s="375" t="n"/>
      <c r="C5" s="471" t="inlineStr">
        <is>
          <t>13АВ-РД-АР1.1-К6</t>
        </is>
      </c>
      <c r="D5" s="471" t="inlineStr">
        <is>
          <t>без даты</t>
        </is>
      </c>
      <c r="E5" s="471" t="inlineStr">
        <is>
          <t>Кладка</t>
        </is>
      </c>
      <c r="F5" s="471" t="inlineStr">
        <is>
          <t>БАЗА</t>
        </is>
      </c>
      <c r="G5" s="375" t="inlineStr">
        <is>
          <t>Наружные стены D600 250 мм</t>
        </is>
      </c>
      <c r="H5" s="471" t="inlineStr">
        <is>
          <t>Корпус 6</t>
        </is>
      </c>
      <c r="I5" s="471" t="n"/>
      <c r="J5" s="471">
        <f>M5</f>
        <v/>
      </c>
      <c r="K5" s="419">
        <f>IF(AND(F5="БАЗА",J5=M5),O5,IF(F5&lt;&gt;"БАЗА","0",IF(J5&lt;&gt;M5,"Пересчет")))</f>
        <v/>
      </c>
      <c r="L5" s="472" t="inlineStr">
        <is>
          <t>Стена из газобетонных блоков, D600 - 250мм</t>
        </is>
      </c>
      <c r="M5" s="487" t="inlineStr">
        <is>
          <t>м3</t>
        </is>
      </c>
      <c r="N5" s="487" t="n">
        <v>448.42</v>
      </c>
      <c r="O5" s="487">
        <f>SUM(X5:AY5)</f>
        <v/>
      </c>
      <c r="P5" s="471" t="n">
        <v>0</v>
      </c>
      <c r="Q5" s="471" t="n">
        <v>0</v>
      </c>
      <c r="R5" s="471">
        <f>O5*W5</f>
        <v/>
      </c>
      <c r="S5" s="471" t="n"/>
      <c r="T5" s="471" t="n"/>
      <c r="U5" s="471" t="n"/>
      <c r="V5" s="471" t="inlineStr">
        <is>
          <t>СН-1.2</t>
        </is>
      </c>
      <c r="W5" s="471" t="n">
        <v>1</v>
      </c>
      <c r="X5" s="471" t="n"/>
      <c r="Y5" s="471">
        <f>12.97+3.59</f>
        <v/>
      </c>
      <c r="Z5" s="471" t="n">
        <v>15.37</v>
      </c>
      <c r="AA5" s="471" t="n">
        <v>17.82</v>
      </c>
      <c r="AB5" s="471" t="n">
        <v>17.82</v>
      </c>
      <c r="AC5" s="471" t="n">
        <v>17.81</v>
      </c>
      <c r="AD5" s="471" t="n">
        <v>17.82</v>
      </c>
      <c r="AE5" s="471">
        <f>17.25+0.43</f>
        <v/>
      </c>
      <c r="AF5" s="471">
        <f>16.03+0.43</f>
        <v/>
      </c>
      <c r="AG5" s="471">
        <f>16.09+0.45</f>
        <v/>
      </c>
      <c r="AH5" s="471">
        <f>16.16+0.45</f>
        <v/>
      </c>
      <c r="AI5" s="471" t="n">
        <v>15.17999999999999</v>
      </c>
      <c r="AJ5" s="471" t="n">
        <v>18.9</v>
      </c>
      <c r="AK5" s="471" t="n">
        <v>17.91999999999999</v>
      </c>
      <c r="AL5" s="471" t="n">
        <v>17.54999999999999</v>
      </c>
      <c r="AM5" s="471">
        <f>16.2+0.42</f>
        <v/>
      </c>
      <c r="AN5" s="471">
        <f>16.5+0.4</f>
        <v/>
      </c>
      <c r="AO5" s="471">
        <f>16.87+0.4</f>
        <v/>
      </c>
      <c r="AP5" s="471">
        <f>16.5+0.4</f>
        <v/>
      </c>
      <c r="AQ5" s="471">
        <f>15+0.42</f>
        <v/>
      </c>
      <c r="AR5" s="471" t="n">
        <v>16.23999999999999</v>
      </c>
      <c r="AS5" s="471" t="n">
        <v>16.07</v>
      </c>
      <c r="AT5" s="471" t="n">
        <v>16.04</v>
      </c>
      <c r="AU5" s="471" t="n">
        <v>16.07</v>
      </c>
      <c r="AV5" s="471" t="n">
        <v>16.7</v>
      </c>
      <c r="AW5" s="471" t="n">
        <v>39.60999999999999</v>
      </c>
      <c r="AX5" s="471" t="n">
        <v>35.61</v>
      </c>
      <c r="AY5" s="471" t="n">
        <v>39.44999999999999</v>
      </c>
    </row>
    <row r="6">
      <c r="A6" s="474" t="n"/>
      <c r="B6" s="474" t="n"/>
      <c r="C6" s="476" t="inlineStr">
        <is>
          <t>13АВ-РД-АР1.1-К6</t>
        </is>
      </c>
      <c r="D6" s="476" t="inlineStr">
        <is>
          <t>без даты</t>
        </is>
      </c>
      <c r="E6" s="476" t="inlineStr">
        <is>
          <t>Кладка</t>
        </is>
      </c>
      <c r="F6" s="476" t="inlineStr">
        <is>
          <t>БАЗА</t>
        </is>
      </c>
      <c r="G6" s="476">
        <f>G5</f>
        <v/>
      </c>
      <c r="H6" s="476" t="inlineStr">
        <is>
          <t>Корпус 6</t>
        </is>
      </c>
      <c r="I6" s="476" t="n"/>
      <c r="J6" s="476">
        <f>M6</f>
        <v/>
      </c>
      <c r="K6" s="477">
        <f>IF(AND(F6="БАЗА",J6=M6),O6,IF(F6&lt;&gt;"БАЗА","0",IF(J6&lt;&gt;M6,"Пересчет")))</f>
        <v/>
      </c>
      <c r="L6" s="478" t="inlineStr">
        <is>
          <t>Примыкания Стена из газобетонных блоков, D600 - 250мм</t>
        </is>
      </c>
      <c r="M6" s="479" t="inlineStr">
        <is>
          <t>м.п</t>
        </is>
      </c>
      <c r="N6" s="476" t="n"/>
      <c r="O6" s="476">
        <f>SUM(X6:AY6)</f>
        <v/>
      </c>
      <c r="P6" s="476" t="n">
        <v>0</v>
      </c>
      <c r="Q6" s="476" t="n">
        <v>0</v>
      </c>
      <c r="R6" s="476">
        <f>O6*W6</f>
        <v/>
      </c>
      <c r="S6" s="476" t="n"/>
      <c r="T6" s="476" t="n"/>
      <c r="U6" s="476" t="n"/>
      <c r="V6" s="476" t="inlineStr">
        <is>
          <t>СН-1.2</t>
        </is>
      </c>
      <c r="W6" s="476" t="n">
        <v>1</v>
      </c>
      <c r="X6" s="476" t="n"/>
      <c r="Y6" s="476">
        <f>37.405+25.82</f>
        <v/>
      </c>
      <c r="Z6" s="476" t="n">
        <v>65.675</v>
      </c>
      <c r="AA6" s="476" t="n">
        <v>73.86500000000001</v>
      </c>
      <c r="AB6" s="476" t="n">
        <v>73.86500000000001</v>
      </c>
      <c r="AC6" s="476" t="n">
        <v>76.78999999999998</v>
      </c>
      <c r="AD6" s="476" t="n">
        <v>73.86500000000001</v>
      </c>
      <c r="AE6" s="476">
        <f>68.525+0.68</f>
        <v/>
      </c>
      <c r="AF6" s="476">
        <f>68.395+0.68</f>
        <v/>
      </c>
      <c r="AG6" s="476">
        <f> 68.389998+0.68</f>
        <v/>
      </c>
      <c r="AH6" s="476">
        <f>68.54+0.68</f>
        <v/>
      </c>
      <c r="AI6" s="476" t="n">
        <v>65.53999999999999</v>
      </c>
      <c r="AJ6" s="476" t="n">
        <v>76.91499999999999</v>
      </c>
      <c r="AK6" s="476" t="n">
        <v>73.91499999999999</v>
      </c>
      <c r="AL6" s="476" t="n">
        <v>73.91499999999999</v>
      </c>
      <c r="AM6" s="476">
        <f>70.715+0.6</f>
        <v/>
      </c>
      <c r="AN6" s="476">
        <f>67.815+0.6</f>
        <v/>
      </c>
      <c r="AO6" s="476">
        <f>67.815+0.6</f>
        <v/>
      </c>
      <c r="AP6" s="476">
        <f>67.815+0.6</f>
        <v/>
      </c>
      <c r="AQ6" s="476">
        <f>64.234974+0.6</f>
        <v/>
      </c>
      <c r="AR6" s="476" t="n">
        <v>66.16</v>
      </c>
      <c r="AS6" s="476" t="n">
        <v>64.15997399999999</v>
      </c>
      <c r="AT6" s="476" t="n">
        <v>64.15997399999999</v>
      </c>
      <c r="AU6" s="476" t="n">
        <v>64.15997399999999</v>
      </c>
      <c r="AV6" s="476" t="n">
        <v>68.98497399999999</v>
      </c>
      <c r="AW6" s="476" t="n">
        <v>64.425</v>
      </c>
      <c r="AX6" s="476" t="n">
        <v>53.075</v>
      </c>
      <c r="AY6" s="476" t="n">
        <v>54.899762</v>
      </c>
    </row>
    <row r="7">
      <c r="A7" s="358" t="inlineStr">
        <is>
          <t>мат.</t>
        </is>
      </c>
      <c r="B7" s="487" t="n"/>
      <c r="C7" s="471" t="inlineStr">
        <is>
          <t>13АВ-РД-АР1.1-К6</t>
        </is>
      </c>
      <c r="D7" s="471" t="inlineStr">
        <is>
          <t>без даты</t>
        </is>
      </c>
      <c r="E7" s="471" t="inlineStr">
        <is>
          <t>Кладка</t>
        </is>
      </c>
      <c r="F7" s="471" t="inlineStr">
        <is>
          <t>БАЗА</t>
        </is>
      </c>
      <c r="G7" s="375" t="inlineStr">
        <is>
          <t>Наружные стены D600 300 мм</t>
        </is>
      </c>
      <c r="H7" s="471" t="inlineStr">
        <is>
          <t>Корпус 6</t>
        </is>
      </c>
      <c r="I7" s="487" t="n"/>
      <c r="J7" s="487">
        <f>M7</f>
        <v/>
      </c>
      <c r="K7" s="450">
        <f>IF(AND(F7="БАЗА",J7=M7),O7,IF(F7&lt;&gt;"БАЗА","0",IF(J7&lt;&gt;M7,"Пересчет")))</f>
        <v/>
      </c>
      <c r="L7" s="472" t="inlineStr">
        <is>
          <t>Стена из газобетонных блоков, D600 - 300мм</t>
        </is>
      </c>
      <c r="M7" s="487" t="inlineStr">
        <is>
          <t>м3</t>
        </is>
      </c>
      <c r="N7" s="480" t="n">
        <v>12.21</v>
      </c>
      <c r="O7" s="480">
        <f>SUM(X7:AY7)</f>
        <v/>
      </c>
      <c r="P7" s="487" t="n">
        <v>0</v>
      </c>
      <c r="Q7" s="487" t="n">
        <v>0</v>
      </c>
      <c r="R7" s="487">
        <f>O7*W7</f>
        <v/>
      </c>
      <c r="S7" s="487" t="n"/>
      <c r="T7" s="487" t="n"/>
      <c r="U7" s="487" t="n"/>
      <c r="V7" s="487" t="inlineStr">
        <is>
          <t>СН-1.1</t>
        </is>
      </c>
      <c r="W7" s="487" t="n">
        <v>1</v>
      </c>
      <c r="X7" s="481" t="n"/>
      <c r="Y7" s="487" t="n">
        <v>0.66</v>
      </c>
      <c r="Z7" s="487" t="n">
        <v>0.63</v>
      </c>
      <c r="AA7" s="487" t="n">
        <v>0.63</v>
      </c>
      <c r="AB7" s="487" t="n">
        <v>0.63</v>
      </c>
      <c r="AC7" s="487" t="n">
        <v>0.63</v>
      </c>
      <c r="AD7" s="487" t="n">
        <v>0.63</v>
      </c>
      <c r="AE7" s="487" t="n">
        <v>0.63</v>
      </c>
      <c r="AF7" s="487" t="n">
        <v>0.63</v>
      </c>
      <c r="AG7" s="487" t="n">
        <v>0.66</v>
      </c>
      <c r="AH7" s="487" t="n">
        <v>0.66</v>
      </c>
      <c r="AI7" s="487" t="n">
        <v>0.66</v>
      </c>
      <c r="AJ7" s="487" t="n">
        <v>0.63</v>
      </c>
      <c r="AK7" s="487" t="n">
        <v>0.63</v>
      </c>
      <c r="AL7" s="487" t="n">
        <v>0.63</v>
      </c>
      <c r="AM7" s="487" t="n"/>
      <c r="AN7" s="487" t="n"/>
      <c r="AO7" s="487" t="n"/>
      <c r="AP7" s="487" t="n"/>
      <c r="AQ7" s="487" t="n"/>
      <c r="AR7" s="487" t="n">
        <v>0.66</v>
      </c>
      <c r="AS7" s="487" t="n">
        <v>0.66</v>
      </c>
      <c r="AT7" s="487" t="n">
        <v>0.66</v>
      </c>
      <c r="AU7" s="487" t="n">
        <v>0.66</v>
      </c>
      <c r="AV7" s="487" t="n">
        <v>0.66</v>
      </c>
      <c r="AW7" s="487" t="n"/>
      <c r="AX7" s="487" t="n"/>
      <c r="AY7" s="487" t="n"/>
    </row>
    <row r="8">
      <c r="A8" s="474" t="n"/>
      <c r="B8" s="474" t="n"/>
      <c r="C8" s="476" t="inlineStr">
        <is>
          <t>13АВ-РД-АР1.1-К6</t>
        </is>
      </c>
      <c r="D8" s="476" t="inlineStr">
        <is>
          <t>без даты</t>
        </is>
      </c>
      <c r="E8" s="476" t="inlineStr">
        <is>
          <t>Кладка</t>
        </is>
      </c>
      <c r="F8" s="476" t="inlineStr">
        <is>
          <t>БАЗА</t>
        </is>
      </c>
      <c r="G8" s="476">
        <f>G7</f>
        <v/>
      </c>
      <c r="H8" s="476" t="inlineStr">
        <is>
          <t>Корпус 6</t>
        </is>
      </c>
      <c r="I8" s="476" t="n"/>
      <c r="J8" s="476">
        <f>M8</f>
        <v/>
      </c>
      <c r="K8" s="476">
        <f>IF(AND(F8="БАЗА",J8=M8),O8,IF(F8&lt;&gt;"БАЗА","0",IF(J8&lt;&gt;M8,"Пересчет")))</f>
        <v/>
      </c>
      <c r="L8" s="478" t="inlineStr">
        <is>
          <t>Примыкания Стена из газобетонных блоков, D600 - 300мм</t>
        </is>
      </c>
      <c r="M8" s="476" t="inlineStr">
        <is>
          <t>м.п</t>
        </is>
      </c>
      <c r="N8" s="476" t="n"/>
      <c r="O8" s="476">
        <f>SUM(X8:AY8)</f>
        <v/>
      </c>
      <c r="P8" s="476" t="n">
        <v>0</v>
      </c>
      <c r="Q8" s="476" t="n">
        <v>0</v>
      </c>
      <c r="R8" s="476">
        <f>O8*W8</f>
        <v/>
      </c>
      <c r="S8" s="476" t="n"/>
      <c r="T8" s="476" t="n"/>
      <c r="U8" s="476" t="n"/>
      <c r="V8" s="476" t="inlineStr">
        <is>
          <t>СН-1.1</t>
        </is>
      </c>
      <c r="W8" s="476" t="n">
        <v>1</v>
      </c>
      <c r="X8" s="476" t="n"/>
      <c r="Y8" s="476" t="n">
        <v>0.905</v>
      </c>
      <c r="Z8" s="476" t="n">
        <v>0.78</v>
      </c>
      <c r="AA8" s="476" t="n">
        <v>0.78</v>
      </c>
      <c r="AB8" s="476" t="n">
        <v>0.78</v>
      </c>
      <c r="AC8" s="476" t="n">
        <v>0.78</v>
      </c>
      <c r="AD8" s="476" t="n">
        <v>0.78</v>
      </c>
      <c r="AE8" s="476" t="n">
        <v>0.78</v>
      </c>
      <c r="AF8" s="476" t="n">
        <v>0.78</v>
      </c>
      <c r="AG8" s="476" t="n">
        <v>0.78</v>
      </c>
      <c r="AH8" s="476" t="n">
        <v>0.78</v>
      </c>
      <c r="AI8" s="476" t="n">
        <v>0.78</v>
      </c>
      <c r="AJ8" s="476" t="n">
        <v>0.78</v>
      </c>
      <c r="AK8" s="476" t="n">
        <v>0.78</v>
      </c>
      <c r="AL8" s="476" t="n">
        <v>0.78</v>
      </c>
      <c r="AM8" s="476" t="n"/>
      <c r="AN8" s="476" t="n"/>
      <c r="AO8" s="476" t="n"/>
      <c r="AP8" s="476" t="n"/>
      <c r="AQ8" s="476" t="n"/>
      <c r="AR8" s="476" t="n">
        <v>0.78</v>
      </c>
      <c r="AS8" s="476" t="n">
        <v>0.78</v>
      </c>
      <c r="AT8" s="476" t="n">
        <v>0.78</v>
      </c>
      <c r="AU8" s="476" t="n">
        <v>0.78</v>
      </c>
      <c r="AV8" s="476" t="n">
        <v>0.78</v>
      </c>
      <c r="AW8" s="476" t="n"/>
      <c r="AX8" s="476" t="n"/>
      <c r="AY8" s="476" t="n"/>
    </row>
    <row r="9">
      <c r="A9" s="466" t="n"/>
      <c r="B9" s="466" t="n"/>
      <c r="C9" s="466" t="n"/>
      <c r="D9" s="482" t="n"/>
      <c r="E9" s="466" t="n"/>
      <c r="F9" s="466" t="n"/>
      <c r="G9" s="466" t="n"/>
      <c r="H9" s="466" t="n"/>
      <c r="I9" s="466" t="n"/>
      <c r="J9" s="466" t="n"/>
      <c r="K9" s="466" t="n"/>
      <c r="L9" s="494" t="inlineStr">
        <is>
          <t>Шахты</t>
        </is>
      </c>
      <c r="M9" s="466" t="n"/>
      <c r="N9" s="483" t="n"/>
      <c r="O9" s="483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84" t="n"/>
      <c r="Z9" s="484" t="n"/>
      <c r="AA9" s="484" t="n"/>
      <c r="AB9" s="484" t="n"/>
      <c r="AC9" s="484" t="n"/>
      <c r="AD9" s="484" t="n"/>
      <c r="AE9" s="484" t="n"/>
      <c r="AF9" s="484" t="n"/>
      <c r="AG9" s="484" t="n"/>
      <c r="AH9" s="484" t="n"/>
      <c r="AI9" s="484" t="n"/>
      <c r="AJ9" s="484" t="n"/>
      <c r="AK9" s="484" t="n"/>
      <c r="AL9" s="484" t="n"/>
      <c r="AM9" s="484" t="n"/>
      <c r="AN9" s="484" t="n"/>
      <c r="AO9" s="484" t="n"/>
      <c r="AP9" s="484" t="n"/>
      <c r="AQ9" s="484" t="n"/>
      <c r="AR9" s="484" t="n"/>
      <c r="AS9" s="484" t="n"/>
      <c r="AT9" s="484" t="n"/>
      <c r="AU9" s="484" t="n"/>
      <c r="AV9" s="484" t="n"/>
      <c r="AW9" s="484" t="n"/>
      <c r="AX9" s="484" t="n"/>
      <c r="AY9" s="466" t="n"/>
    </row>
    <row r="10">
      <c r="A10" s="358" t="inlineStr">
        <is>
          <t>мат.</t>
        </is>
      </c>
      <c r="B10" s="487" t="n"/>
      <c r="C10" s="471" t="inlineStr">
        <is>
          <t>13АВ-РД-АР1.1-К6</t>
        </is>
      </c>
      <c r="D10" s="471" t="inlineStr">
        <is>
          <t>без даты</t>
        </is>
      </c>
      <c r="E10" s="471" t="inlineStr">
        <is>
          <t>Кладка</t>
        </is>
      </c>
      <c r="F10" s="471" t="inlineStr">
        <is>
          <t>БАЗА</t>
        </is>
      </c>
      <c r="G10" s="375" t="inlineStr">
        <is>
          <t>Внутренние стены  80 мм</t>
        </is>
      </c>
      <c r="H10" s="471" t="inlineStr">
        <is>
          <t>Корпус 6</t>
        </is>
      </c>
      <c r="I10" s="487" t="n"/>
      <c r="J10" s="487">
        <f>M10</f>
        <v/>
      </c>
      <c r="K10" s="450">
        <f>IF(AND(F10="БАЗА",J10=M10),O10,IF(F10&lt;&gt;"БАЗА","0",IF(J10&lt;&gt;M10,"Пересчет")))</f>
        <v/>
      </c>
      <c r="L10" s="472" t="inlineStr">
        <is>
          <t>Перегородка и зашивка из влагостойких силикатных
полнотелых пазогребневых плит, D1950 - 80мм</t>
        </is>
      </c>
      <c r="M10" s="487" t="inlineStr">
        <is>
          <t>м2</t>
        </is>
      </c>
      <c r="N10" s="485" t="n">
        <v>5171.8</v>
      </c>
      <c r="O10" s="480">
        <f>SUM(X10:AY10)</f>
        <v/>
      </c>
      <c r="P10" s="487" t="n">
        <v>0</v>
      </c>
      <c r="Q10" s="487" t="n">
        <v>0</v>
      </c>
      <c r="R10" s="487">
        <f>O10*W10</f>
        <v/>
      </c>
      <c r="S10" s="487" t="n"/>
      <c r="T10" s="487" t="n"/>
      <c r="U10" s="487" t="n"/>
      <c r="V10" s="487" t="inlineStr">
        <is>
          <t>СВ-2.1</t>
        </is>
      </c>
      <c r="W10" s="487" t="n">
        <v>1</v>
      </c>
      <c r="X10" s="487" t="n"/>
      <c r="Y10" s="471" t="n">
        <v>35</v>
      </c>
      <c r="Z10" s="486" t="n">
        <v>35</v>
      </c>
      <c r="AA10" s="486" t="n">
        <v>35</v>
      </c>
      <c r="AB10" s="486" t="n">
        <v>35</v>
      </c>
      <c r="AC10" s="486" t="n">
        <v>35</v>
      </c>
      <c r="AD10" s="486" t="n">
        <v>35</v>
      </c>
      <c r="AE10" s="486" t="n">
        <v>35</v>
      </c>
      <c r="AF10" s="486" t="n">
        <v>35</v>
      </c>
      <c r="AG10" s="486" t="n">
        <v>35.875</v>
      </c>
      <c r="AH10" s="486" t="n">
        <v>35.75</v>
      </c>
      <c r="AI10" s="486" t="n">
        <v>35.875</v>
      </c>
      <c r="AJ10" s="486" t="n">
        <v>35.875</v>
      </c>
      <c r="AK10" s="486" t="n">
        <v>35.875</v>
      </c>
      <c r="AL10" s="486" t="n">
        <v>35.875</v>
      </c>
      <c r="AM10" s="486" t="n">
        <v>35.875</v>
      </c>
      <c r="AN10" s="486" t="n">
        <v>35.75</v>
      </c>
      <c r="AO10" s="486" t="n">
        <v>35.75</v>
      </c>
      <c r="AP10" s="486" t="n">
        <v>32.375</v>
      </c>
      <c r="AQ10" s="486" t="n">
        <v>32.75</v>
      </c>
      <c r="AR10" s="486" t="n">
        <v>32.75</v>
      </c>
      <c r="AS10" s="486" t="n">
        <v>32.75</v>
      </c>
      <c r="AT10" s="486" t="n">
        <v>32.75</v>
      </c>
      <c r="AU10" s="486" t="n">
        <v>32.75</v>
      </c>
      <c r="AV10" s="486" t="n">
        <v>32</v>
      </c>
      <c r="AW10" s="486" t="n">
        <v>34.25</v>
      </c>
      <c r="AX10" s="486" t="n">
        <v>33.875</v>
      </c>
      <c r="AY10" s="471" t="n"/>
    </row>
    <row r="11">
      <c r="A11" s="474" t="n"/>
      <c r="B11" s="474" t="n"/>
      <c r="C11" s="476" t="inlineStr">
        <is>
          <t>13АВ-РД-АР1.1-К6</t>
        </is>
      </c>
      <c r="D11" s="476" t="inlineStr">
        <is>
          <t>без даты</t>
        </is>
      </c>
      <c r="E11" s="476" t="inlineStr">
        <is>
          <t>Кладка</t>
        </is>
      </c>
      <c r="F11" s="476" t="inlineStr">
        <is>
          <t>БАЗА</t>
        </is>
      </c>
      <c r="G11" s="476">
        <f>G10</f>
        <v/>
      </c>
      <c r="H11" s="476" t="inlineStr">
        <is>
          <t>Корпус 6</t>
        </is>
      </c>
      <c r="I11" s="476" t="n"/>
      <c r="J11" s="476">
        <f>M11</f>
        <v/>
      </c>
      <c r="K11" s="476">
        <f>IF(AND(F11="БАЗА",J11=M11),O11,IF(F11&lt;&gt;"БАЗА","0",IF(J11&lt;&gt;M11,"Пересчет")))</f>
        <v/>
      </c>
      <c r="L11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1" s="476" t="inlineStr">
        <is>
          <t>м.п</t>
        </is>
      </c>
      <c r="N11" s="476" t="n"/>
      <c r="O11" s="476">
        <f>SUM(X11:AY11)</f>
        <v/>
      </c>
      <c r="P11" s="476" t="n">
        <v>0</v>
      </c>
      <c r="Q11" s="476" t="n">
        <v>0</v>
      </c>
      <c r="R11" s="476">
        <f>O11*W11</f>
        <v/>
      </c>
      <c r="S11" s="476" t="n"/>
      <c r="T11" s="476" t="n"/>
      <c r="U11" s="476" t="n"/>
      <c r="V11" s="476" t="inlineStr">
        <is>
          <t>СВ-2.1</t>
        </is>
      </c>
      <c r="W11" s="476" t="n">
        <v>1</v>
      </c>
      <c r="X11" s="476" t="n"/>
      <c r="Y11" s="476" t="n">
        <v>12.070012</v>
      </c>
      <c r="Z11" s="476" t="n">
        <v>12.069972</v>
      </c>
      <c r="AA11" s="476" t="n">
        <v>12.069972</v>
      </c>
      <c r="AB11" s="476" t="n">
        <v>12.02001</v>
      </c>
      <c r="AC11" s="476" t="n">
        <v>12.069972</v>
      </c>
      <c r="AD11" s="476" t="n">
        <v>12.069972</v>
      </c>
      <c r="AE11" s="476" t="n">
        <v>12.07001</v>
      </c>
      <c r="AF11" s="476" t="n">
        <v>12.07001</v>
      </c>
      <c r="AG11" s="476" t="n">
        <v>12.34001</v>
      </c>
      <c r="AH11" s="476" t="n">
        <v>12.289999</v>
      </c>
      <c r="AI11" s="476" t="n">
        <v>12.44001</v>
      </c>
      <c r="AJ11" s="476" t="n">
        <v>12.439999</v>
      </c>
      <c r="AK11" s="476" t="n">
        <v>12.439999</v>
      </c>
      <c r="AL11" s="476" t="n">
        <v>12.09501</v>
      </c>
      <c r="AM11" s="476" t="n">
        <v>12.09501</v>
      </c>
      <c r="AN11" s="476" t="n">
        <v>12.044997</v>
      </c>
      <c r="AO11" s="476" t="n">
        <v>12.044997</v>
      </c>
      <c r="AP11" s="476" t="n">
        <v>11.179998</v>
      </c>
      <c r="AQ11" s="476" t="n">
        <v>11.174998</v>
      </c>
      <c r="AR11" s="476" t="n">
        <v>11.175037</v>
      </c>
      <c r="AS11" s="476" t="n">
        <v>11.175037</v>
      </c>
      <c r="AT11" s="476" t="n">
        <v>11.175037</v>
      </c>
      <c r="AU11" s="476" t="n">
        <v>11.175037</v>
      </c>
      <c r="AV11" s="476" t="n">
        <v>11.201085</v>
      </c>
      <c r="AW11" s="476" t="n">
        <v>11.459986</v>
      </c>
      <c r="AX11" s="476" t="n">
        <v>11.161171</v>
      </c>
      <c r="AY11" s="476" t="n"/>
    </row>
    <row r="12">
      <c r="A12" s="466" t="n"/>
      <c r="B12" s="466" t="n"/>
      <c r="C12" s="466" t="n"/>
      <c r="D12" s="482" t="n"/>
      <c r="E12" s="466" t="n"/>
      <c r="F12" s="466" t="n"/>
      <c r="G12" s="466" t="n"/>
      <c r="H12" s="466" t="n"/>
      <c r="I12" s="466" t="n"/>
      <c r="J12" s="466" t="n"/>
      <c r="K12" s="466" t="n"/>
      <c r="L12" s="494" t="inlineStr">
        <is>
          <t>Внутр</t>
        </is>
      </c>
      <c r="M12" s="466" t="n"/>
      <c r="N12" s="483" t="n"/>
      <c r="O12" s="483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84" t="n"/>
      <c r="Z12" s="484" t="n"/>
      <c r="AA12" s="484" t="n"/>
      <c r="AB12" s="484" t="n"/>
      <c r="AC12" s="484" t="n"/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4" t="n"/>
      <c r="AN12" s="484" t="n"/>
      <c r="AO12" s="484" t="n"/>
      <c r="AP12" s="484" t="n"/>
      <c r="AQ12" s="484" t="n"/>
      <c r="AR12" s="484" t="n"/>
      <c r="AS12" s="484" t="n"/>
      <c r="AT12" s="484" t="n"/>
      <c r="AU12" s="484" t="n"/>
      <c r="AV12" s="484" t="n"/>
      <c r="AW12" s="484" t="n"/>
      <c r="AX12" s="484" t="n"/>
      <c r="AY12" s="484" t="n"/>
    </row>
    <row r="13">
      <c r="A13" s="358" t="inlineStr">
        <is>
          <t>мат.</t>
        </is>
      </c>
      <c r="B13" s="471" t="n"/>
      <c r="C13" s="471" t="inlineStr">
        <is>
          <t>13АВ-РД-АР1.1-К6</t>
        </is>
      </c>
      <c r="D13" s="471" t="inlineStr">
        <is>
          <t>без даты</t>
        </is>
      </c>
      <c r="E13" s="471" t="inlineStr">
        <is>
          <t>Кладка</t>
        </is>
      </c>
      <c r="F13" s="471" t="inlineStr">
        <is>
          <t>БАЗА</t>
        </is>
      </c>
      <c r="G13" s="375" t="inlineStr">
        <is>
          <t>Внутренние стены  80 мм</t>
        </is>
      </c>
      <c r="H13" s="471" t="inlineStr">
        <is>
          <t>Корпус 6</t>
        </is>
      </c>
      <c r="I13" s="471" t="n"/>
      <c r="J13" s="471">
        <f>M13</f>
        <v/>
      </c>
      <c r="K13" s="419">
        <f>IF(AND(F13="БАЗА",J13=M13),O13,IF(F13&lt;&gt;"БАЗА","0",IF(J13&lt;&gt;M13,"Пересчет")))</f>
        <v/>
      </c>
      <c r="L13" s="472" t="inlineStr">
        <is>
          <t>Перегородка и зашивка из влагостойких силикатных
полнотелых пазогребневых плит, D1950 - 80мм</t>
        </is>
      </c>
      <c r="M13" s="487" t="inlineStr">
        <is>
          <t>м2</t>
        </is>
      </c>
      <c r="N13" s="485" t="n">
        <v>5171.8</v>
      </c>
      <c r="O13" s="487">
        <f>SUM(X13:AY13)</f>
        <v/>
      </c>
      <c r="P13" s="471" t="n">
        <v>0</v>
      </c>
      <c r="Q13" s="471" t="n">
        <v>0</v>
      </c>
      <c r="R13" s="471">
        <f>O13*W13</f>
        <v/>
      </c>
      <c r="S13" s="471" t="n"/>
      <c r="T13" s="471" t="n"/>
      <c r="U13" s="471" t="n"/>
      <c r="V13" s="471" t="inlineStr">
        <is>
          <t>СВ-2.1</t>
        </is>
      </c>
      <c r="W13" s="471" t="n">
        <v>1</v>
      </c>
      <c r="X13" s="471" t="n"/>
      <c r="Y13" s="471" t="n">
        <v>3.75</v>
      </c>
      <c r="Z13" s="471" t="n">
        <v>2.75</v>
      </c>
      <c r="AA13" s="471" t="n">
        <v>2.75</v>
      </c>
      <c r="AB13" s="471" t="n">
        <v>2.75</v>
      </c>
      <c r="AC13" s="471" t="n">
        <v>2.75</v>
      </c>
      <c r="AD13" s="471" t="n">
        <v>2.75</v>
      </c>
      <c r="AE13" s="471" t="n">
        <v>2.75</v>
      </c>
      <c r="AF13" s="471" t="n">
        <v>2.75</v>
      </c>
      <c r="AG13" s="471" t="n">
        <v>2.75</v>
      </c>
      <c r="AH13" s="471" t="n">
        <v>2.75</v>
      </c>
      <c r="AI13" s="471" t="n">
        <v>2.75</v>
      </c>
      <c r="AJ13" s="471" t="n">
        <v>2.75</v>
      </c>
      <c r="AK13" s="471" t="n">
        <v>2.75</v>
      </c>
      <c r="AL13" s="471" t="n">
        <v>2.75</v>
      </c>
      <c r="AM13" s="471" t="n">
        <v>2.75</v>
      </c>
      <c r="AN13" s="471" t="n">
        <v>2.75</v>
      </c>
      <c r="AO13" s="471" t="n">
        <v>2.75</v>
      </c>
      <c r="AP13" s="471" t="n">
        <v>2.75</v>
      </c>
      <c r="AQ13" s="471" t="n">
        <v>2.75</v>
      </c>
      <c r="AR13" s="471" t="n">
        <v>2.75</v>
      </c>
      <c r="AS13" s="471" t="n">
        <v>2.75</v>
      </c>
      <c r="AT13" s="471" t="n">
        <v>2.75</v>
      </c>
      <c r="AU13" s="471" t="n">
        <v>2.75</v>
      </c>
      <c r="AV13" s="471" t="n">
        <v>2.75</v>
      </c>
      <c r="AW13" s="471" t="n">
        <v>2.75</v>
      </c>
      <c r="AX13" s="471" t="n">
        <v>3.125</v>
      </c>
      <c r="AY13" s="471" t="n">
        <v>2.75</v>
      </c>
    </row>
    <row r="14">
      <c r="A14" s="474" t="n"/>
      <c r="B14" s="474" t="n"/>
      <c r="C14" s="476" t="inlineStr">
        <is>
          <t>13АВ-РД-АР1.1-К6</t>
        </is>
      </c>
      <c r="D14" s="476" t="inlineStr">
        <is>
          <t>без даты</t>
        </is>
      </c>
      <c r="E14" s="476" t="inlineStr">
        <is>
          <t>Кладка</t>
        </is>
      </c>
      <c r="F14" s="476" t="inlineStr">
        <is>
          <t>БАЗА</t>
        </is>
      </c>
      <c r="G14" s="476">
        <f>G13</f>
        <v/>
      </c>
      <c r="H14" s="476" t="inlineStr">
        <is>
          <t>Корпус 6</t>
        </is>
      </c>
      <c r="I14" s="476" t="n"/>
      <c r="J14" s="476">
        <f>M14</f>
        <v/>
      </c>
      <c r="K14" s="477">
        <f>IF(AND(F14="БАЗА",J14=M14),O14,IF(F14&lt;&gt;"БАЗА","0",IF(J14&lt;&gt;M14,"Пересчет")))</f>
        <v/>
      </c>
      <c r="L14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4" s="476" t="inlineStr">
        <is>
          <t>м.п</t>
        </is>
      </c>
      <c r="N14" s="476" t="n"/>
      <c r="O14" s="476">
        <f>SUM(X14:AY14)</f>
        <v/>
      </c>
      <c r="P14" s="476" t="n">
        <v>0</v>
      </c>
      <c r="Q14" s="476" t="n">
        <v>0</v>
      </c>
      <c r="R14" s="476">
        <f>O14*W14</f>
        <v/>
      </c>
      <c r="S14" s="476" t="n"/>
      <c r="T14" s="476" t="n"/>
      <c r="U14" s="476" t="n"/>
      <c r="V14" s="476" t="inlineStr">
        <is>
          <t>СВ-2.1</t>
        </is>
      </c>
      <c r="W14" s="476" t="n">
        <v>1</v>
      </c>
      <c r="X14" s="476" t="n"/>
      <c r="Y14" s="476" t="n">
        <v>1.260012</v>
      </c>
      <c r="Z14" s="476" t="n">
        <v>0.910012</v>
      </c>
      <c r="AA14" s="476" t="n">
        <v>0.910012</v>
      </c>
      <c r="AB14" s="476" t="n">
        <v>0.910012</v>
      </c>
      <c r="AC14" s="476" t="n">
        <v>0.9099999999999999</v>
      </c>
      <c r="AD14" s="476" t="n">
        <v>0.910012</v>
      </c>
      <c r="AE14" s="476" t="n">
        <v>0.910012</v>
      </c>
      <c r="AF14" s="476" t="n">
        <v>0.9099999999999999</v>
      </c>
      <c r="AG14" s="476" t="n">
        <v>0.9099999999999999</v>
      </c>
      <c r="AH14" s="476" t="n">
        <v>0.9099999999999999</v>
      </c>
      <c r="AI14" s="476" t="n">
        <v>0.910012</v>
      </c>
      <c r="AJ14" s="476" t="n">
        <v>0.910012</v>
      </c>
      <c r="AK14" s="476" t="n">
        <v>0.910012</v>
      </c>
      <c r="AL14" s="476" t="n">
        <v>0.910012</v>
      </c>
      <c r="AM14" s="476" t="n">
        <v>0.910012</v>
      </c>
      <c r="AN14" s="476" t="n">
        <v>0.910012</v>
      </c>
      <c r="AO14" s="476" t="n">
        <v>0.910012</v>
      </c>
      <c r="AP14" s="476" t="n">
        <v>0.910012</v>
      </c>
      <c r="AQ14" s="476" t="n">
        <v>0.910012</v>
      </c>
      <c r="AR14" s="476" t="n">
        <v>0.910012</v>
      </c>
      <c r="AS14" s="476" t="n">
        <v>0.910012</v>
      </c>
      <c r="AT14" s="476" t="n">
        <v>0.910012</v>
      </c>
      <c r="AU14" s="476" t="n">
        <v>0.910012</v>
      </c>
      <c r="AV14" s="476" t="n">
        <v>0.910012</v>
      </c>
      <c r="AW14" s="476" t="n">
        <v>0.9099999999999999</v>
      </c>
      <c r="AX14" s="476" t="n">
        <v>0.9099999999999999</v>
      </c>
      <c r="AY14" s="476" t="n">
        <v>0.9099999999999999</v>
      </c>
    </row>
    <row r="15">
      <c r="A15" s="358" t="inlineStr">
        <is>
          <t>мат.</t>
        </is>
      </c>
      <c r="B15" s="487" t="n"/>
      <c r="C15" s="471" t="inlineStr">
        <is>
          <t>13АВ-РД-АР1.1-К6</t>
        </is>
      </c>
      <c r="D15" s="471" t="inlineStr">
        <is>
          <t>без даты</t>
        </is>
      </c>
      <c r="E15" s="471" t="inlineStr">
        <is>
          <t>Кладка</t>
        </is>
      </c>
      <c r="F15" s="471" t="inlineStr">
        <is>
          <t>БАЗА</t>
        </is>
      </c>
      <c r="G15" s="375" t="inlineStr">
        <is>
          <t>Внутренние стены D1950 80 мм</t>
        </is>
      </c>
      <c r="H15" s="471" t="inlineStr">
        <is>
          <t>Корпус 6</t>
        </is>
      </c>
      <c r="I15" s="487" t="n"/>
      <c r="J15" s="487">
        <f>M15</f>
        <v/>
      </c>
      <c r="K15" s="450">
        <f>IF(AND(F15="БАЗА",J15=M15),O15,IF(F15&lt;&gt;"БАЗА","0",IF(J15&lt;&gt;M15,"Пересчет")))</f>
        <v/>
      </c>
      <c r="L15" s="472" t="inlineStr">
        <is>
          <t>Силикатные Перегородка и зашивка из влагостойких силикатных
полнотелых пазогребневых плит, D1950 - 80мм</t>
        </is>
      </c>
      <c r="M15" s="487" t="inlineStr">
        <is>
          <t>м2</t>
        </is>
      </c>
      <c r="N15" s="485" t="n">
        <v>5171.8</v>
      </c>
      <c r="O15" s="480">
        <f>SUM(X15:AY15)</f>
        <v/>
      </c>
      <c r="P15" s="487" t="n">
        <v>0</v>
      </c>
      <c r="Q15" s="487" t="n">
        <v>0</v>
      </c>
      <c r="R15" s="487">
        <f>O15*W15</f>
        <v/>
      </c>
      <c r="S15" s="487" t="n"/>
      <c r="T15" s="487" t="n"/>
      <c r="U15" s="487" t="n"/>
      <c r="V15" s="487" t="inlineStr">
        <is>
          <t>СВ-2.1</t>
        </is>
      </c>
      <c r="W15" s="487" t="n">
        <v>1</v>
      </c>
      <c r="X15" s="487" t="n"/>
      <c r="Y15" s="487" t="n">
        <v>141.125</v>
      </c>
      <c r="Z15" s="487" t="n">
        <v>141.125</v>
      </c>
      <c r="AA15" s="487" t="n">
        <v>141.125</v>
      </c>
      <c r="AB15" s="487" t="n">
        <v>141.125</v>
      </c>
      <c r="AC15" s="487" t="n">
        <v>142.875</v>
      </c>
      <c r="AD15" s="487" t="n">
        <v>141.125</v>
      </c>
      <c r="AE15" s="487" t="n">
        <v>141.125</v>
      </c>
      <c r="AF15" s="487" t="n">
        <v>141.125</v>
      </c>
      <c r="AG15" s="487" t="n">
        <v>141.125</v>
      </c>
      <c r="AH15" s="487" t="n">
        <v>160.5</v>
      </c>
      <c r="AI15" s="487" t="n">
        <v>160.25</v>
      </c>
      <c r="AJ15" s="487" t="n">
        <v>160.5</v>
      </c>
      <c r="AK15" s="487" t="n">
        <v>160.5</v>
      </c>
      <c r="AL15" s="487" t="n">
        <v>160.5</v>
      </c>
      <c r="AM15" s="487" t="n">
        <v>159.875</v>
      </c>
      <c r="AN15" s="487" t="n">
        <v>159.875</v>
      </c>
      <c r="AO15" s="487" t="n">
        <v>159.625</v>
      </c>
      <c r="AP15" s="487" t="n">
        <v>159.625</v>
      </c>
      <c r="AQ15" s="487" t="n">
        <v>159.75</v>
      </c>
      <c r="AR15" s="487" t="n">
        <v>160.125</v>
      </c>
      <c r="AS15" s="487" t="n">
        <v>160.125</v>
      </c>
      <c r="AT15" s="487" t="n">
        <v>160.125</v>
      </c>
      <c r="AU15" s="487" t="n">
        <v>160.125</v>
      </c>
      <c r="AV15" s="487" t="n">
        <v>160.125</v>
      </c>
      <c r="AW15" s="487" t="n">
        <v>173.125</v>
      </c>
      <c r="AX15" s="487" t="n">
        <v>184</v>
      </c>
      <c r="AY15" s="487" t="n">
        <v>186</v>
      </c>
    </row>
    <row r="16">
      <c r="A16" s="474" t="n"/>
      <c r="B16" s="474" t="n"/>
      <c r="C16" s="476" t="inlineStr">
        <is>
          <t>13АВ-РД-АР1.1-К6</t>
        </is>
      </c>
      <c r="D16" s="476" t="inlineStr">
        <is>
          <t>без даты</t>
        </is>
      </c>
      <c r="E16" s="476" t="inlineStr">
        <is>
          <t>Кладка</t>
        </is>
      </c>
      <c r="F16" s="476" t="inlineStr">
        <is>
          <t>БАЗА</t>
        </is>
      </c>
      <c r="G16" s="476">
        <f>G15</f>
        <v/>
      </c>
      <c r="H16" s="476" t="inlineStr">
        <is>
          <t>Корпус 6</t>
        </is>
      </c>
      <c r="I16" s="476" t="n"/>
      <c r="J16" s="476">
        <f>M16</f>
        <v/>
      </c>
      <c r="K16" s="476">
        <f>IF(AND(F16="БАЗА",J16=M16),O16,IF(F16&lt;&gt;"БАЗА","0",IF(J16&lt;&gt;M16,"Пересчет")))</f>
        <v/>
      </c>
      <c r="L16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6" s="476" t="inlineStr">
        <is>
          <t>м.п</t>
        </is>
      </c>
      <c r="N16" s="476" t="n"/>
      <c r="O16" s="476">
        <f>SUM(X16:AY16)</f>
        <v/>
      </c>
      <c r="P16" s="476" t="n">
        <v>0</v>
      </c>
      <c r="Q16" s="476" t="n">
        <v>0</v>
      </c>
      <c r="R16" s="476">
        <f>O16*W16</f>
        <v/>
      </c>
      <c r="S16" s="476" t="n"/>
      <c r="T16" s="476" t="n"/>
      <c r="U16" s="476" t="n"/>
      <c r="V16" s="476" t="inlineStr">
        <is>
          <t>СВ-2.1</t>
        </is>
      </c>
      <c r="W16" s="476" t="n">
        <v>1</v>
      </c>
      <c r="X16" s="476" t="n"/>
      <c r="Y16" s="476" t="n">
        <v>53.825</v>
      </c>
      <c r="Z16" s="476" t="n">
        <v>53.7</v>
      </c>
      <c r="AA16" s="476" t="n">
        <v>53.825</v>
      </c>
      <c r="AB16" s="476" t="n">
        <v>53.825</v>
      </c>
      <c r="AC16" s="476" t="n">
        <v>54.425</v>
      </c>
      <c r="AD16" s="476" t="n">
        <v>53.825</v>
      </c>
      <c r="AE16" s="476" t="n">
        <v>53.825</v>
      </c>
      <c r="AF16" s="476" t="n">
        <v>53.825</v>
      </c>
      <c r="AG16" s="476" t="n">
        <v>53.825</v>
      </c>
      <c r="AH16" s="476" t="n">
        <v>61.42</v>
      </c>
      <c r="AI16" s="476" t="n">
        <v>61.37</v>
      </c>
      <c r="AJ16" s="476" t="n">
        <v>61.52</v>
      </c>
      <c r="AK16" s="476" t="n">
        <v>61.52</v>
      </c>
      <c r="AL16" s="476" t="n">
        <v>61.52</v>
      </c>
      <c r="AM16" s="476" t="n">
        <v>61.22</v>
      </c>
      <c r="AN16" s="476" t="n">
        <v>61.22</v>
      </c>
      <c r="AO16" s="476" t="n">
        <v>61.146</v>
      </c>
      <c r="AP16" s="476" t="n">
        <v>61.346</v>
      </c>
      <c r="AQ16" s="476" t="n">
        <v>60.595</v>
      </c>
      <c r="AR16" s="476" t="n">
        <v>60.715</v>
      </c>
      <c r="AS16" s="476" t="n">
        <v>60.715008</v>
      </c>
      <c r="AT16" s="476" t="n">
        <v>60.715008</v>
      </c>
      <c r="AU16" s="476" t="n">
        <v>60.715008</v>
      </c>
      <c r="AV16" s="476" t="n">
        <v>60.715008</v>
      </c>
      <c r="AW16" s="476" t="n">
        <v>66.559988</v>
      </c>
      <c r="AX16" s="476" t="n">
        <v>66.185012</v>
      </c>
      <c r="AY16" s="476" t="n">
        <v>65.88501100000001</v>
      </c>
    </row>
    <row r="17">
      <c r="A17" s="358" t="inlineStr">
        <is>
          <t>мат.</t>
        </is>
      </c>
      <c r="B17" s="487" t="n"/>
      <c r="C17" s="471" t="inlineStr">
        <is>
          <t>13АВ-РД-АР1.1-К6</t>
        </is>
      </c>
      <c r="D17" s="471" t="inlineStr">
        <is>
          <t>без даты</t>
        </is>
      </c>
      <c r="E17" s="471" t="inlineStr">
        <is>
          <t>Кладка</t>
        </is>
      </c>
      <c r="F17" s="471" t="inlineStr">
        <is>
          <t>БАЗА</t>
        </is>
      </c>
      <c r="G17" s="375" t="inlineStr">
        <is>
          <t>Внутренние стены D600 100 мм</t>
        </is>
      </c>
      <c r="H17" s="471" t="inlineStr">
        <is>
          <t>Корпус 6</t>
        </is>
      </c>
      <c r="I17" s="487" t="n"/>
      <c r="J17" s="487">
        <f>M17</f>
        <v/>
      </c>
      <c r="K17" s="450">
        <f>IF(AND(F17="БАЗА",J17=M17),O17,IF(F17&lt;&gt;"БАЗА","0",IF(J17&lt;&gt;M17,"Пересчет")))</f>
        <v/>
      </c>
      <c r="L17" s="472" t="inlineStr">
        <is>
          <t>Стена из газобетонных блоков, D600 - 100мм</t>
        </is>
      </c>
      <c r="M17" s="487" t="inlineStr">
        <is>
          <t>м2</t>
        </is>
      </c>
      <c r="N17" s="480" t="n">
        <v>590.24</v>
      </c>
      <c r="O17" s="480">
        <f>SUM(X17:AY17)</f>
        <v/>
      </c>
      <c r="P17" s="487" t="n">
        <v>0</v>
      </c>
      <c r="Q17" s="487" t="n">
        <v>0</v>
      </c>
      <c r="R17" s="487">
        <f>O17*W17</f>
        <v/>
      </c>
      <c r="S17" s="487" t="n"/>
      <c r="T17" s="487" t="n"/>
      <c r="U17" s="487" t="n"/>
      <c r="V17" s="487" t="inlineStr">
        <is>
          <t>СВ-1.4</t>
        </is>
      </c>
      <c r="W17" s="487" t="n">
        <v>1</v>
      </c>
      <c r="X17" s="488" t="n"/>
      <c r="Y17" s="487" t="n">
        <v>26.4</v>
      </c>
      <c r="Z17" s="487" t="n">
        <v>26.4</v>
      </c>
      <c r="AA17" s="487" t="n">
        <v>26.4</v>
      </c>
      <c r="AB17" s="487" t="n">
        <v>26.4</v>
      </c>
      <c r="AC17" s="487" t="n">
        <v>21.1</v>
      </c>
      <c r="AD17" s="487" t="n">
        <v>26.4</v>
      </c>
      <c r="AE17" s="487" t="n">
        <v>26.4</v>
      </c>
      <c r="AF17" s="487" t="n">
        <v>25.3</v>
      </c>
      <c r="AG17" s="487" t="n">
        <v>26.4</v>
      </c>
      <c r="AH17" s="487" t="n">
        <v>19.2</v>
      </c>
      <c r="AI17" s="487" t="n">
        <v>19.2</v>
      </c>
      <c r="AJ17" s="487" t="n">
        <v>19.2</v>
      </c>
      <c r="AK17" s="487" t="n">
        <v>19.2</v>
      </c>
      <c r="AL17" s="487" t="n">
        <v>19.2</v>
      </c>
      <c r="AM17" s="487" t="n">
        <v>19.2</v>
      </c>
      <c r="AN17" s="487" t="n">
        <v>19.2</v>
      </c>
      <c r="AO17" s="487" t="n">
        <v>19.2</v>
      </c>
      <c r="AP17" s="487" t="n">
        <v>19.2</v>
      </c>
      <c r="AQ17" s="487" t="n">
        <v>19.2</v>
      </c>
      <c r="AR17" s="487" t="n">
        <v>19.2</v>
      </c>
      <c r="AS17" s="487" t="n">
        <v>19.2</v>
      </c>
      <c r="AT17" s="487" t="n">
        <v>19.2</v>
      </c>
      <c r="AU17" s="487" t="n">
        <v>19.2</v>
      </c>
      <c r="AV17" s="487" t="n">
        <v>19.2</v>
      </c>
      <c r="AW17" s="487" t="n">
        <v>24.6</v>
      </c>
      <c r="AX17" s="487" t="n">
        <v>27.2</v>
      </c>
      <c r="AY17" s="487" t="n">
        <v>21.2</v>
      </c>
    </row>
    <row r="18">
      <c r="A18" s="474" t="n"/>
      <c r="B18" s="474" t="n"/>
      <c r="C18" s="476" t="inlineStr">
        <is>
          <t>13АВ-РД-АР1.1-К6</t>
        </is>
      </c>
      <c r="D18" s="476" t="inlineStr">
        <is>
          <t>без даты</t>
        </is>
      </c>
      <c r="E18" s="476" t="inlineStr">
        <is>
          <t>Кладка</t>
        </is>
      </c>
      <c r="F18" s="476" t="inlineStr">
        <is>
          <t>БАЗА</t>
        </is>
      </c>
      <c r="G18" s="476">
        <f>G17</f>
        <v/>
      </c>
      <c r="H18" s="476" t="inlineStr">
        <is>
          <t>Корпус 6</t>
        </is>
      </c>
      <c r="I18" s="476" t="n"/>
      <c r="J18" s="476">
        <f>M18</f>
        <v/>
      </c>
      <c r="K18" s="476">
        <f>IF(AND(F18="БАЗА",J18=M18),O18,IF(F18&lt;&gt;"БАЗА","0",IF(J18&lt;&gt;M18,"Пересчет")))</f>
        <v/>
      </c>
      <c r="L18" s="478" t="inlineStr">
        <is>
          <t>Примыкания Стена из газобетонных блоков, D600 - 100мм</t>
        </is>
      </c>
      <c r="M18" s="476" t="inlineStr">
        <is>
          <t>м.п</t>
        </is>
      </c>
      <c r="N18" s="476" t="n"/>
      <c r="O18" s="476">
        <f>SUM(X18:AY18)</f>
        <v/>
      </c>
      <c r="P18" s="476" t="n">
        <v>0</v>
      </c>
      <c r="Q18" s="476" t="n">
        <v>0</v>
      </c>
      <c r="R18" s="476">
        <f>O18*W18</f>
        <v/>
      </c>
      <c r="S18" s="476" t="n"/>
      <c r="T18" s="476" t="n"/>
      <c r="U18" s="476" t="n"/>
      <c r="V18" s="476" t="inlineStr">
        <is>
          <t>СВ-1.4</t>
        </is>
      </c>
      <c r="W18" s="476" t="n">
        <v>1</v>
      </c>
      <c r="X18" s="476" t="n"/>
      <c r="Y18" s="476" t="n">
        <v>9.425000000000001</v>
      </c>
      <c r="Z18" s="476" t="n">
        <v>9.425000000000001</v>
      </c>
      <c r="AA18" s="476" t="n">
        <v>9.425000000000001</v>
      </c>
      <c r="AB18" s="476" t="n">
        <v>9.425000000000001</v>
      </c>
      <c r="AC18" s="476" t="n">
        <v>7.225</v>
      </c>
      <c r="AD18" s="476" t="n">
        <v>9.425000000000001</v>
      </c>
      <c r="AE18" s="476" t="n">
        <v>9.425000000000001</v>
      </c>
      <c r="AF18" s="476" t="n">
        <v>8.925000000000001</v>
      </c>
      <c r="AG18" s="476" t="n">
        <v>9.425000000000001</v>
      </c>
      <c r="AH18" s="476" t="n">
        <v>6.675</v>
      </c>
      <c r="AI18" s="476" t="n">
        <v>6.675</v>
      </c>
      <c r="AJ18" s="476" t="n">
        <v>6.675</v>
      </c>
      <c r="AK18" s="476" t="n">
        <v>6.675</v>
      </c>
      <c r="AL18" s="476" t="n">
        <v>6.675</v>
      </c>
      <c r="AM18" s="476" t="n">
        <v>6.675</v>
      </c>
      <c r="AN18" s="476" t="n">
        <v>6.675</v>
      </c>
      <c r="AO18" s="476" t="n">
        <v>6.675</v>
      </c>
      <c r="AP18" s="476" t="n">
        <v>6.675</v>
      </c>
      <c r="AQ18" s="476" t="n">
        <v>6.675</v>
      </c>
      <c r="AR18" s="476" t="n">
        <v>6.675</v>
      </c>
      <c r="AS18" s="476" t="n">
        <v>6.675</v>
      </c>
      <c r="AT18" s="476" t="n">
        <v>6.675</v>
      </c>
      <c r="AU18" s="476" t="n">
        <v>6.675</v>
      </c>
      <c r="AV18" s="476" t="n">
        <v>6.675</v>
      </c>
      <c r="AW18" s="476" t="n">
        <v>8.65</v>
      </c>
      <c r="AX18" s="476" t="n">
        <v>8.65</v>
      </c>
      <c r="AY18" s="476" t="n">
        <v>6.675</v>
      </c>
    </row>
    <row r="19">
      <c r="A19" s="358" t="inlineStr">
        <is>
          <t>мат.</t>
        </is>
      </c>
      <c r="B19" s="487" t="n"/>
      <c r="C19" s="471" t="inlineStr">
        <is>
          <t>13АВ-РД-АР1.1-К6</t>
        </is>
      </c>
      <c r="D19" s="471" t="inlineStr">
        <is>
          <t>без даты</t>
        </is>
      </c>
      <c r="E19" s="471" t="inlineStr">
        <is>
          <t>Кладка</t>
        </is>
      </c>
      <c r="F19" s="471" t="inlineStr">
        <is>
          <t>БАЗА</t>
        </is>
      </c>
      <c r="G19" s="375" t="inlineStr">
        <is>
          <t>Внутренние стены D600 150 мм</t>
        </is>
      </c>
      <c r="H19" s="471" t="inlineStr">
        <is>
          <t>Корпус 6</t>
        </is>
      </c>
      <c r="I19" s="487" t="n"/>
      <c r="J19" s="487">
        <f>M19</f>
        <v/>
      </c>
      <c r="K19" s="450">
        <f>IF(AND(F19="БАЗА",J19=M19),O19,IF(F19&lt;&gt;"БАЗА","0",IF(J19&lt;&gt;M19,"Пересчет")))</f>
        <v/>
      </c>
      <c r="L19" s="472" t="inlineStr">
        <is>
          <t>Стена из газобетонных блоков, D600 - 150мм</t>
        </is>
      </c>
      <c r="M19" s="487" t="inlineStr">
        <is>
          <t>м3</t>
        </is>
      </c>
      <c r="N19" s="480" t="n">
        <v>77.08</v>
      </c>
      <c r="O19" s="480">
        <f>SUM(X19:AY19)</f>
        <v/>
      </c>
      <c r="P19" s="487" t="n">
        <v>0</v>
      </c>
      <c r="Q19" s="487" t="n">
        <v>0</v>
      </c>
      <c r="R19" s="487">
        <f>O19*W19</f>
        <v/>
      </c>
      <c r="S19" s="487" t="n"/>
      <c r="T19" s="487" t="n"/>
      <c r="U19" s="487" t="n"/>
      <c r="V19" s="487" t="inlineStr">
        <is>
          <t>СВ-1.3</t>
        </is>
      </c>
      <c r="W19" s="487" t="n">
        <v>1</v>
      </c>
      <c r="X19" s="487" t="n"/>
      <c r="Y19" s="487" t="n">
        <v>2.82</v>
      </c>
      <c r="Z19" s="487" t="n">
        <v>2.82</v>
      </c>
      <c r="AA19" s="487" t="n">
        <v>2.82</v>
      </c>
      <c r="AB19" s="487" t="n">
        <v>2.82</v>
      </c>
      <c r="AC19" s="487" t="n">
        <v>2.94</v>
      </c>
      <c r="AD19" s="487" t="n">
        <v>2.82</v>
      </c>
      <c r="AE19" s="487" t="n">
        <v>2.82</v>
      </c>
      <c r="AF19" s="487" t="n">
        <v>2.91</v>
      </c>
      <c r="AG19" s="487" t="n">
        <v>2.82</v>
      </c>
      <c r="AH19" s="487" t="n">
        <v>2.82</v>
      </c>
      <c r="AI19" s="487" t="n">
        <v>2.82</v>
      </c>
      <c r="AJ19" s="487" t="n">
        <v>2.82</v>
      </c>
      <c r="AK19" s="487" t="n">
        <v>2.82</v>
      </c>
      <c r="AL19" s="487" t="n">
        <v>2.82</v>
      </c>
      <c r="AM19" s="487" t="n">
        <v>2.82</v>
      </c>
      <c r="AN19" s="487" t="n">
        <v>2.82</v>
      </c>
      <c r="AO19" s="487" t="n">
        <v>2.82</v>
      </c>
      <c r="AP19" s="487" t="n">
        <v>2.82</v>
      </c>
      <c r="AQ19" s="487" t="n">
        <v>2.82</v>
      </c>
      <c r="AR19" s="487" t="n">
        <v>2.82</v>
      </c>
      <c r="AS19" s="487" t="n">
        <v>2.82</v>
      </c>
      <c r="AT19" s="487" t="n">
        <v>2.82</v>
      </c>
      <c r="AU19" s="487" t="n">
        <v>2.82</v>
      </c>
      <c r="AV19" s="487" t="n">
        <v>2.82</v>
      </c>
      <c r="AW19" s="487" t="n">
        <v>2.82</v>
      </c>
      <c r="AX19" s="487" t="n">
        <v>3.29</v>
      </c>
      <c r="AY19" s="487" t="n">
        <v>3.29</v>
      </c>
    </row>
    <row r="20">
      <c r="A20" s="474" t="n"/>
      <c r="B20" s="474" t="n"/>
      <c r="C20" s="476" t="inlineStr">
        <is>
          <t>13АВ-РД-АР1.1-К6</t>
        </is>
      </c>
      <c r="D20" s="476" t="inlineStr">
        <is>
          <t>без даты</t>
        </is>
      </c>
      <c r="E20" s="476" t="inlineStr">
        <is>
          <t>Кладка</t>
        </is>
      </c>
      <c r="F20" s="476" t="inlineStr">
        <is>
          <t>БАЗА</t>
        </is>
      </c>
      <c r="G20" s="476">
        <f>G19</f>
        <v/>
      </c>
      <c r="H20" s="476" t="inlineStr">
        <is>
          <t>Корпус 6</t>
        </is>
      </c>
      <c r="I20" s="476" t="n"/>
      <c r="J20" s="476">
        <f>M20</f>
        <v/>
      </c>
      <c r="K20" s="476">
        <f>IF(AND(F20="БАЗА",J20=M20),O20,IF(F20&lt;&gt;"БАЗА","0",IF(J20&lt;&gt;M20,"Пересчет")))</f>
        <v/>
      </c>
      <c r="L20" s="478" t="inlineStr">
        <is>
          <t>Примыкания Стена из газобетонных блоков, D600 - 150мм</t>
        </is>
      </c>
      <c r="M20" s="476" t="inlineStr">
        <is>
          <t>м.п</t>
        </is>
      </c>
      <c r="N20" s="476" t="n"/>
      <c r="O20" s="476">
        <f>SUM(X20:AY20)</f>
        <v/>
      </c>
      <c r="P20" s="476" t="n">
        <v>0</v>
      </c>
      <c r="Q20" s="476" t="n">
        <v>0</v>
      </c>
      <c r="R20" s="476">
        <f>O20*W20</f>
        <v/>
      </c>
      <c r="S20" s="476" t="n"/>
      <c r="T20" s="476" t="n"/>
      <c r="U20" s="476" t="n"/>
      <c r="V20" s="476" t="inlineStr">
        <is>
          <t>СВ-1.3</t>
        </is>
      </c>
      <c r="W20" s="476" t="n">
        <v>1</v>
      </c>
      <c r="X20" s="476" t="n"/>
      <c r="Y20" s="476" t="n">
        <v>7.05</v>
      </c>
      <c r="Z20" s="476" t="n">
        <v>7.05</v>
      </c>
      <c r="AA20" s="476" t="n">
        <v>7.05</v>
      </c>
      <c r="AB20" s="476" t="n">
        <v>7.05</v>
      </c>
      <c r="AC20" s="476" t="n">
        <v>7.05</v>
      </c>
      <c r="AD20" s="476" t="n">
        <v>7.05</v>
      </c>
      <c r="AE20" s="476" t="n">
        <v>7.05</v>
      </c>
      <c r="AF20" s="476" t="n">
        <v>6.95</v>
      </c>
      <c r="AG20" s="476" t="n">
        <v>7.05</v>
      </c>
      <c r="AH20" s="476" t="n">
        <v>6.95</v>
      </c>
      <c r="AI20" s="476" t="n">
        <v>6.95</v>
      </c>
      <c r="AJ20" s="476" t="n">
        <v>6.95</v>
      </c>
      <c r="AK20" s="476" t="n">
        <v>6.95</v>
      </c>
      <c r="AL20" s="476" t="n">
        <v>6.95</v>
      </c>
      <c r="AM20" s="476" t="n">
        <v>6.95</v>
      </c>
      <c r="AN20" s="476" t="n">
        <v>6.95</v>
      </c>
      <c r="AO20" s="476" t="n">
        <v>6.95</v>
      </c>
      <c r="AP20" s="476" t="n">
        <v>6.95</v>
      </c>
      <c r="AQ20" s="476" t="n">
        <v>6.95</v>
      </c>
      <c r="AR20" s="476" t="n">
        <v>6.95</v>
      </c>
      <c r="AS20" s="476" t="n">
        <v>6.95</v>
      </c>
      <c r="AT20" s="476" t="n">
        <v>6.95</v>
      </c>
      <c r="AU20" s="476" t="n">
        <v>6.95</v>
      </c>
      <c r="AV20" s="476" t="n">
        <v>6.95</v>
      </c>
      <c r="AW20" s="476" t="n">
        <v>6.95</v>
      </c>
      <c r="AX20" s="476" t="n">
        <v>6.95</v>
      </c>
      <c r="AY20" s="476" t="n">
        <v>6.95</v>
      </c>
    </row>
    <row r="21">
      <c r="A21" s="358" t="inlineStr">
        <is>
          <t>мат.</t>
        </is>
      </c>
      <c r="B21" s="487" t="n"/>
      <c r="C21" s="471" t="inlineStr">
        <is>
          <t>13АВ-РД-АР1.1-К6</t>
        </is>
      </c>
      <c r="D21" s="471" t="inlineStr">
        <is>
          <t>без даты</t>
        </is>
      </c>
      <c r="E21" s="471" t="inlineStr">
        <is>
          <t>Кладка</t>
        </is>
      </c>
      <c r="F21" s="471" t="inlineStr">
        <is>
          <t>БАЗА</t>
        </is>
      </c>
      <c r="G21" s="375" t="inlineStr">
        <is>
          <t>Внутренние стены D600 200 мм</t>
        </is>
      </c>
      <c r="H21" s="471" t="inlineStr">
        <is>
          <t>Корпус 6</t>
        </is>
      </c>
      <c r="I21" s="487" t="n"/>
      <c r="J21" s="487">
        <f>M21</f>
        <v/>
      </c>
      <c r="K21" s="450">
        <f>IF(AND(F21="БАЗА",J21=M21),O21,IF(F21&lt;&gt;"БАЗА","0",IF(J21&lt;&gt;M21,"Пересчет")))</f>
        <v/>
      </c>
      <c r="L21" s="472" t="inlineStr">
        <is>
          <t>Стена из газобетонных блоков, D600 - 200мм</t>
        </is>
      </c>
      <c r="M21" s="487" t="inlineStr">
        <is>
          <t>м3</t>
        </is>
      </c>
      <c r="N21" s="480" t="n">
        <v>785.01</v>
      </c>
      <c r="O21" s="480">
        <f>SUM(X21:AY21)</f>
        <v/>
      </c>
      <c r="P21" s="487" t="n">
        <v>0</v>
      </c>
      <c r="Q21" s="487" t="n">
        <v>0</v>
      </c>
      <c r="R21" s="487">
        <f>O21*W21</f>
        <v/>
      </c>
      <c r="S21" s="487" t="n"/>
      <c r="T21" s="487" t="n"/>
      <c r="U21" s="487" t="n"/>
      <c r="V21" s="487" t="inlineStr">
        <is>
          <t>СВ-1.2</t>
        </is>
      </c>
      <c r="W21" s="487" t="n">
        <v>1</v>
      </c>
      <c r="X21" s="487" t="n"/>
      <c r="Y21" s="487" t="n">
        <v>27.31</v>
      </c>
      <c r="Z21" s="487" t="n">
        <v>27.31</v>
      </c>
      <c r="AA21" s="487" t="n">
        <v>27.46</v>
      </c>
      <c r="AB21" s="487" t="n">
        <v>27.31</v>
      </c>
      <c r="AC21" s="487" t="n">
        <v>27.31</v>
      </c>
      <c r="AD21" s="487" t="n">
        <v>27.31</v>
      </c>
      <c r="AE21" s="487" t="n">
        <v>27.31</v>
      </c>
      <c r="AF21" s="487" t="n">
        <v>27.31</v>
      </c>
      <c r="AG21" s="487" t="n">
        <v>27.31</v>
      </c>
      <c r="AH21" s="487" t="n">
        <v>29.54</v>
      </c>
      <c r="AI21" s="487" t="n">
        <v>29.54</v>
      </c>
      <c r="AJ21" s="487" t="n">
        <v>29.54</v>
      </c>
      <c r="AK21" s="487" t="n">
        <v>29.55</v>
      </c>
      <c r="AL21" s="487" t="n">
        <v>29.55</v>
      </c>
      <c r="AM21" s="487" t="n">
        <v>34.32</v>
      </c>
      <c r="AN21" s="487" t="n">
        <v>34.85</v>
      </c>
      <c r="AO21" s="487" t="n">
        <v>34.88</v>
      </c>
      <c r="AP21" s="487" t="n">
        <v>34.88</v>
      </c>
      <c r="AQ21" s="487" t="n">
        <v>31.11</v>
      </c>
      <c r="AR21" s="487" t="n">
        <v>31.2</v>
      </c>
      <c r="AS21" s="487" t="n">
        <v>31.22</v>
      </c>
      <c r="AT21" s="487" t="n">
        <v>31.22</v>
      </c>
      <c r="AU21" s="487" t="n">
        <v>31.22</v>
      </c>
      <c r="AV21" s="487" t="n">
        <v>31.22</v>
      </c>
      <c r="AW21" s="487" t="n">
        <v>19.82</v>
      </c>
      <c r="AX21" s="487" t="n">
        <v>22.25</v>
      </c>
      <c r="AY21" s="487" t="n">
        <v>23.24</v>
      </c>
    </row>
    <row r="22">
      <c r="A22" s="474" t="n"/>
      <c r="B22" s="474" t="n"/>
      <c r="C22" s="476" t="inlineStr">
        <is>
          <t>13АВ-РД-АР1.1-К6</t>
        </is>
      </c>
      <c r="D22" s="476" t="inlineStr">
        <is>
          <t>без даты</t>
        </is>
      </c>
      <c r="E22" s="476" t="inlineStr">
        <is>
          <t>Кладка</t>
        </is>
      </c>
      <c r="F22" s="476" t="inlineStr">
        <is>
          <t>БАЗА</t>
        </is>
      </c>
      <c r="G22" s="476">
        <f>G21</f>
        <v/>
      </c>
      <c r="H22" s="476" t="inlineStr">
        <is>
          <t>Корпус 6</t>
        </is>
      </c>
      <c r="I22" s="476" t="n"/>
      <c r="J22" s="476">
        <f>M22</f>
        <v/>
      </c>
      <c r="K22" s="476">
        <f>IF(AND(F22="БАЗА",J22=M22),O22,IF(F22&lt;&gt;"БАЗА","0",IF(J22&lt;&gt;M22,"Пересчет")))</f>
        <v/>
      </c>
      <c r="L22" s="478" t="inlineStr">
        <is>
          <t>Примыкания Стена из газобетонных блоков, D600 - 200мм</t>
        </is>
      </c>
      <c r="M22" s="476" t="inlineStr">
        <is>
          <t>м.п</t>
        </is>
      </c>
      <c r="N22" s="476" t="n"/>
      <c r="O22" s="476">
        <f>SUM(X22:AY22)</f>
        <v/>
      </c>
      <c r="P22" s="476" t="n">
        <v>0</v>
      </c>
      <c r="Q22" s="476" t="n">
        <v>0</v>
      </c>
      <c r="R22" s="476">
        <f>O22*W22</f>
        <v/>
      </c>
      <c r="S22" s="476" t="n"/>
      <c r="T22" s="476" t="n"/>
      <c r="U22" s="476" t="n"/>
      <c r="V22" s="476" t="inlineStr">
        <is>
          <t>СВ-1.2</t>
        </is>
      </c>
      <c r="W22" s="476" t="n">
        <v>1</v>
      </c>
      <c r="X22" s="476" t="n"/>
      <c r="Y22" s="476" t="n">
        <v>52.5575</v>
      </c>
      <c r="Z22" s="476" t="n">
        <v>52.5575</v>
      </c>
      <c r="AA22" s="476" t="n">
        <v>52.9325</v>
      </c>
      <c r="AB22" s="476" t="n">
        <v>52.5575</v>
      </c>
      <c r="AC22" s="476" t="n">
        <v>52.3075</v>
      </c>
      <c r="AD22" s="476" t="n">
        <v>52.5575</v>
      </c>
      <c r="AE22" s="476" t="n">
        <v>52.5575</v>
      </c>
      <c r="AF22" s="476" t="n">
        <v>52.6825</v>
      </c>
      <c r="AG22" s="476" t="n">
        <v>52.5575</v>
      </c>
      <c r="AH22" s="476" t="n">
        <v>56.905</v>
      </c>
      <c r="AI22" s="476" t="n">
        <v>56.905</v>
      </c>
      <c r="AJ22" s="476" t="n">
        <v>56.905</v>
      </c>
      <c r="AK22" s="476" t="n">
        <v>56.905</v>
      </c>
      <c r="AL22" s="476" t="n">
        <v>56.905</v>
      </c>
      <c r="AM22" s="476" t="n">
        <v>65.0025</v>
      </c>
      <c r="AN22" s="476" t="n">
        <v>65.752504</v>
      </c>
      <c r="AO22" s="476" t="n">
        <v>65.902505</v>
      </c>
      <c r="AP22" s="476" t="n">
        <v>65.902505</v>
      </c>
      <c r="AQ22" s="476" t="n">
        <v>58.532476</v>
      </c>
      <c r="AR22" s="476" t="n">
        <v>58.624988</v>
      </c>
      <c r="AS22" s="476" t="n">
        <v>58.624983</v>
      </c>
      <c r="AT22" s="476" t="n">
        <v>58.624983</v>
      </c>
      <c r="AU22" s="476" t="n">
        <v>58.624983</v>
      </c>
      <c r="AV22" s="476" t="n">
        <v>58.624983</v>
      </c>
      <c r="AW22" s="476" t="n">
        <v>39.329988</v>
      </c>
      <c r="AX22" s="476" t="n">
        <v>39.904988</v>
      </c>
      <c r="AY22" s="476" t="n">
        <v>39.904988</v>
      </c>
    </row>
    <row r="23">
      <c r="A23" s="490" t="n"/>
      <c r="B23" s="490" t="n"/>
      <c r="C23" s="492" t="inlineStr">
        <is>
          <t>13АВ-РД-АР1.1-К6</t>
        </is>
      </c>
      <c r="D23" s="492" t="inlineStr">
        <is>
          <t>без даты</t>
        </is>
      </c>
      <c r="E23" s="492" t="inlineStr">
        <is>
          <t>Кладка</t>
        </is>
      </c>
      <c r="F23" s="492" t="inlineStr">
        <is>
          <t>БАЗА</t>
        </is>
      </c>
      <c r="G23" s="492" t="inlineStr">
        <is>
          <t>Перемычки D600 200мм</t>
        </is>
      </c>
      <c r="H23" s="492" t="inlineStr">
        <is>
          <t>Корпус 6</t>
        </is>
      </c>
      <c r="I23" s="492" t="n"/>
      <c r="J23" s="492">
        <f>M23</f>
        <v/>
      </c>
      <c r="K23" s="492">
        <f>IF(AND(F23="БАЗА",J23=M23),O23,IF(F23&lt;&gt;"БАЗА","0",IF(J23&lt;&gt;M23,"Пересчет")))</f>
        <v/>
      </c>
      <c r="L23" s="493" t="inlineStr">
        <is>
          <t>Уголок 40х5</t>
        </is>
      </c>
      <c r="M23" s="492" t="inlineStr">
        <is>
          <t>м.п</t>
        </is>
      </c>
      <c r="N23" s="492" t="n"/>
      <c r="O23" s="492">
        <f>SUM(X23:AY23)</f>
        <v/>
      </c>
      <c r="P23" s="492" t="n">
        <v>0</v>
      </c>
      <c r="Q23" s="492" t="n">
        <v>0</v>
      </c>
      <c r="R23" s="492">
        <f>O23*W23</f>
        <v/>
      </c>
      <c r="S23" s="492" t="n"/>
      <c r="T23" s="492" t="n"/>
      <c r="U23" s="492" t="n"/>
      <c r="V23" s="492">
        <f>V22</f>
        <v/>
      </c>
      <c r="W23" s="492" t="n">
        <v>1</v>
      </c>
      <c r="X23" s="492" t="n"/>
      <c r="Y23" s="492" t="n">
        <v>10.5</v>
      </c>
      <c r="Z23" s="492" t="n">
        <v>10.5</v>
      </c>
      <c r="AA23" s="492" t="n">
        <v>10.4</v>
      </c>
      <c r="AB23" s="492" t="n">
        <v>10.5</v>
      </c>
      <c r="AC23" s="492" t="n">
        <v>10.4</v>
      </c>
      <c r="AD23" s="492" t="n">
        <v>10.5</v>
      </c>
      <c r="AE23" s="492" t="n">
        <v>10.5</v>
      </c>
      <c r="AF23" s="492" t="n">
        <v>10.4</v>
      </c>
      <c r="AG23" s="492" t="n">
        <v>10.5</v>
      </c>
      <c r="AH23" s="492" t="n">
        <v>11.9</v>
      </c>
      <c r="AI23" s="492" t="n">
        <v>11.9</v>
      </c>
      <c r="AJ23" s="492" t="n">
        <v>11.9</v>
      </c>
      <c r="AK23" s="492" t="n">
        <v>11.9</v>
      </c>
      <c r="AL23" s="492" t="n">
        <v>11.9</v>
      </c>
      <c r="AM23" s="492" t="n">
        <v>11.9</v>
      </c>
      <c r="AN23" s="492" t="n">
        <v>13.4</v>
      </c>
      <c r="AO23" s="492" t="n">
        <v>13.4</v>
      </c>
      <c r="AP23" s="492" t="n">
        <v>13.4</v>
      </c>
      <c r="AQ23" s="492" t="n">
        <v>10.5</v>
      </c>
      <c r="AR23" s="492" t="n">
        <v>10.5</v>
      </c>
      <c r="AS23" s="492" t="n">
        <v>10.5</v>
      </c>
      <c r="AT23" s="492" t="n">
        <v>10.5</v>
      </c>
      <c r="AU23" s="492" t="n">
        <v>10.5</v>
      </c>
      <c r="AV23" s="492" t="n">
        <v>10.5</v>
      </c>
      <c r="AW23" s="492" t="n">
        <v>10.3</v>
      </c>
      <c r="AX23" s="492" t="n">
        <v>10.3</v>
      </c>
      <c r="AY23" s="492" t="n">
        <v>10.3</v>
      </c>
    </row>
    <row r="24">
      <c r="A24" s="490" t="n"/>
      <c r="B24" s="490" t="n"/>
      <c r="C24" s="492" t="inlineStr">
        <is>
          <t>13АВ-РД-АР1.1-К6</t>
        </is>
      </c>
      <c r="D24" s="492" t="inlineStr">
        <is>
          <t>без даты</t>
        </is>
      </c>
      <c r="E24" s="492" t="inlineStr">
        <is>
          <t>Кладка</t>
        </is>
      </c>
      <c r="F24" s="492" t="inlineStr">
        <is>
          <t>БАЗА</t>
        </is>
      </c>
      <c r="G24" s="492" t="inlineStr">
        <is>
          <t>Перемычки D600 200мм</t>
        </is>
      </c>
      <c r="H24" s="492" t="inlineStr">
        <is>
          <t>Корпус 6</t>
        </is>
      </c>
      <c r="I24" s="492" t="n"/>
      <c r="J24" s="492">
        <f>M24</f>
        <v/>
      </c>
      <c r="K24" s="492">
        <f>IF(AND(F24="БАЗА",J24=M24),O24,IF(F24&lt;&gt;"БАЗА","0",IF(J24&lt;&gt;M24,"Пересчет")))</f>
        <v/>
      </c>
      <c r="L24" s="493" t="inlineStr">
        <is>
          <t>Уголок 75х6, L=80</t>
        </is>
      </c>
      <c r="M24" s="492" t="inlineStr">
        <is>
          <t>м.п</t>
        </is>
      </c>
      <c r="N24" s="492" t="n"/>
      <c r="O24" s="492">
        <f>SUM(X24:AY24)</f>
        <v/>
      </c>
      <c r="P24" s="492" t="n">
        <v>0</v>
      </c>
      <c r="Q24" s="492" t="n">
        <v>0</v>
      </c>
      <c r="R24" s="492">
        <f>O24*W24</f>
        <v/>
      </c>
      <c r="S24" s="492" t="n"/>
      <c r="T24" s="492" t="n"/>
      <c r="U24" s="492" t="n"/>
      <c r="V24" s="492">
        <f>V23</f>
        <v/>
      </c>
      <c r="W24" s="492" t="n">
        <v>1</v>
      </c>
      <c r="X24" s="492" t="n"/>
      <c r="Y24" s="492" t="n"/>
      <c r="Z24" s="492" t="n"/>
      <c r="AA24" s="492" t="n"/>
      <c r="AB24" s="492" t="n"/>
      <c r="AC24" s="492" t="n"/>
      <c r="AD24" s="492" t="n"/>
      <c r="AE24" s="492" t="n"/>
      <c r="AF24" s="492" t="n"/>
      <c r="AG24" s="492" t="n"/>
      <c r="AH24" s="492" t="n"/>
      <c r="AI24" s="492" t="n"/>
      <c r="AJ24" s="492" t="n"/>
      <c r="AK24" s="492" t="n"/>
      <c r="AL24" s="492" t="n"/>
      <c r="AM24" s="492" t="n"/>
      <c r="AN24" s="492" t="n"/>
      <c r="AO24" s="492" t="n"/>
      <c r="AP24" s="492" t="n"/>
      <c r="AQ24" s="492" t="n"/>
      <c r="AR24" s="492" t="n"/>
      <c r="AS24" s="492" t="n"/>
      <c r="AT24" s="492" t="n"/>
      <c r="AU24" s="492" t="n"/>
      <c r="AV24" s="492" t="n"/>
      <c r="AW24" s="492" t="n"/>
      <c r="AX24" s="492" t="n">
        <v>0.08</v>
      </c>
      <c r="AY24" s="492" t="n"/>
    </row>
    <row r="25">
      <c r="A25" s="490" t="n"/>
      <c r="B25" s="490" t="n"/>
      <c r="C25" s="492" t="inlineStr">
        <is>
          <t>13АВ-РД-АР1.1-К6</t>
        </is>
      </c>
      <c r="D25" s="492" t="inlineStr">
        <is>
          <t>без даты</t>
        </is>
      </c>
      <c r="E25" s="492" t="inlineStr">
        <is>
          <t>Кладка</t>
        </is>
      </c>
      <c r="F25" s="492" t="inlineStr">
        <is>
          <t>БАЗА</t>
        </is>
      </c>
      <c r="G25" s="492" t="inlineStr">
        <is>
          <t>Перемычки D600 200мм</t>
        </is>
      </c>
      <c r="H25" s="492" t="inlineStr">
        <is>
          <t>Корпус 6</t>
        </is>
      </c>
      <c r="I25" s="492" t="n"/>
      <c r="J25" s="492">
        <f>M25</f>
        <v/>
      </c>
      <c r="K25" s="492">
        <f>IF(AND(F25="БАЗА",J25=M25),O25,IF(F25&lt;&gt;"БАЗА","0",IF(J25&lt;&gt;M25,"Пересчет")))</f>
        <v/>
      </c>
      <c r="L25" s="493" t="inlineStr">
        <is>
          <t>Уголок 80х6</t>
        </is>
      </c>
      <c r="M25" s="492" t="inlineStr">
        <is>
          <t>м.п</t>
        </is>
      </c>
      <c r="N25" s="492" t="n"/>
      <c r="O25" s="492">
        <f>SUM(X25:AY25)</f>
        <v/>
      </c>
      <c r="P25" s="492" t="n">
        <v>0</v>
      </c>
      <c r="Q25" s="492" t="n">
        <v>0</v>
      </c>
      <c r="R25" s="492">
        <f>O25*W25</f>
        <v/>
      </c>
      <c r="S25" s="492" t="n"/>
      <c r="T25" s="492" t="n"/>
      <c r="U25" s="492" t="n"/>
      <c r="V25" s="492">
        <f>V24</f>
        <v/>
      </c>
      <c r="W25" s="492" t="n">
        <v>1</v>
      </c>
      <c r="X25" s="492" t="n"/>
      <c r="Y25" s="492" t="n"/>
      <c r="Z25" s="492" t="n"/>
      <c r="AA25" s="492" t="n">
        <v>0.2</v>
      </c>
      <c r="AB25" s="492" t="n"/>
      <c r="AC25" s="492" t="n">
        <v>0.2</v>
      </c>
      <c r="AD25" s="492" t="n"/>
      <c r="AE25" s="492" t="n"/>
      <c r="AF25" s="492" t="n">
        <v>0.2</v>
      </c>
      <c r="AG25" s="492" t="n"/>
      <c r="AH25" s="492" t="n">
        <v>0.2</v>
      </c>
      <c r="AI25" s="492" t="n">
        <v>0.2</v>
      </c>
      <c r="AJ25" s="492" t="n">
        <v>0.2</v>
      </c>
      <c r="AK25" s="492" t="n">
        <v>0.2</v>
      </c>
      <c r="AL25" s="492" t="n">
        <v>0.2</v>
      </c>
      <c r="AM25" s="492" t="n"/>
      <c r="AN25" s="492" t="n">
        <v>0.2</v>
      </c>
      <c r="AO25" s="492" t="n">
        <v>0.2</v>
      </c>
      <c r="AP25" s="492" t="n">
        <v>0.2</v>
      </c>
      <c r="AQ25" s="492" t="n"/>
      <c r="AR25" s="492" t="n"/>
      <c r="AS25" s="492" t="n"/>
      <c r="AT25" s="492" t="n"/>
      <c r="AU25" s="492" t="n"/>
      <c r="AV25" s="492" t="n"/>
      <c r="AW25" s="492" t="n"/>
      <c r="AX25" s="492" t="n">
        <v>0.4</v>
      </c>
      <c r="AY25" s="492" t="n">
        <v>0.4</v>
      </c>
    </row>
    <row r="26">
      <c r="A26" s="490" t="n"/>
      <c r="B26" s="490" t="n"/>
      <c r="C26" s="492" t="inlineStr">
        <is>
          <t>13АВ-РД-АР1.1-К6</t>
        </is>
      </c>
      <c r="D26" s="492" t="inlineStr">
        <is>
          <t>без даты</t>
        </is>
      </c>
      <c r="E26" s="492" t="inlineStr">
        <is>
          <t>Кладка</t>
        </is>
      </c>
      <c r="F26" s="492" t="inlineStr">
        <is>
          <t>БАЗА</t>
        </is>
      </c>
      <c r="G26" s="492" t="inlineStr">
        <is>
          <t>Перемычки D600 200мм</t>
        </is>
      </c>
      <c r="H26" s="492" t="inlineStr">
        <is>
          <t>Корпус 6</t>
        </is>
      </c>
      <c r="I26" s="492" t="n"/>
      <c r="J26" s="492">
        <f>M26</f>
        <v/>
      </c>
      <c r="K26" s="492">
        <f>IF(AND(F26="БАЗА",J26=M26),O26,IF(F26&lt;&gt;"БАЗА","0",IF(J26&lt;&gt;M26,"Пересчет")))</f>
        <v/>
      </c>
      <c r="L26" s="493" t="inlineStr">
        <is>
          <t>Пластина 50х4</t>
        </is>
      </c>
      <c r="M26" s="492" t="inlineStr">
        <is>
          <t>м.п</t>
        </is>
      </c>
      <c r="N26" s="492" t="n"/>
      <c r="O26" s="492">
        <f>SUM(X26:AY26)</f>
        <v/>
      </c>
      <c r="P26" s="492" t="n">
        <v>0</v>
      </c>
      <c r="Q26" s="492" t="n">
        <v>0</v>
      </c>
      <c r="R26" s="492">
        <f>O26*W26</f>
        <v/>
      </c>
      <c r="S26" s="492" t="n"/>
      <c r="T26" s="492" t="n"/>
      <c r="U26" s="492" t="n"/>
      <c r="V26" s="492">
        <f>V25</f>
        <v/>
      </c>
      <c r="W26" s="492" t="n">
        <v>1</v>
      </c>
      <c r="X26" s="492" t="n"/>
      <c r="Y26" s="492" t="n">
        <v>1.4</v>
      </c>
      <c r="Z26" s="492" t="n">
        <v>1.4</v>
      </c>
      <c r="AA26" s="492" t="n">
        <v>1.4</v>
      </c>
      <c r="AB26" s="492" t="n">
        <v>1.4</v>
      </c>
      <c r="AC26" s="492" t="n">
        <v>1.4</v>
      </c>
      <c r="AD26" s="492" t="n">
        <v>1.4</v>
      </c>
      <c r="AE26" s="492" t="n">
        <v>1.4</v>
      </c>
      <c r="AF26" s="492" t="n">
        <v>1.4</v>
      </c>
      <c r="AG26" s="492" t="n">
        <v>1.4</v>
      </c>
      <c r="AH26" s="492" t="n">
        <v>1.6</v>
      </c>
      <c r="AI26" s="492" t="n">
        <v>1.6</v>
      </c>
      <c r="AJ26" s="492" t="n">
        <v>1.6</v>
      </c>
      <c r="AK26" s="492" t="n">
        <v>1.6</v>
      </c>
      <c r="AL26" s="492" t="n">
        <v>1.6</v>
      </c>
      <c r="AM26" s="492" t="n">
        <v>1.6</v>
      </c>
      <c r="AN26" s="492" t="n">
        <v>1.8</v>
      </c>
      <c r="AO26" s="492" t="n">
        <v>1.8</v>
      </c>
      <c r="AP26" s="492" t="n">
        <v>1.8</v>
      </c>
      <c r="AQ26" s="492" t="n">
        <v>1.4</v>
      </c>
      <c r="AR26" s="492" t="n">
        <v>1.4</v>
      </c>
      <c r="AS26" s="492" t="n">
        <v>1.4</v>
      </c>
      <c r="AT26" s="492" t="n">
        <v>1.4</v>
      </c>
      <c r="AU26" s="492" t="n">
        <v>1.4</v>
      </c>
      <c r="AV26" s="492" t="n">
        <v>1.4</v>
      </c>
      <c r="AW26" s="492" t="n">
        <v>1.4</v>
      </c>
      <c r="AX26" s="492" t="n">
        <v>1.4</v>
      </c>
      <c r="AY26" s="492" t="n">
        <v>1.4</v>
      </c>
    </row>
    <row r="27">
      <c r="A27" s="358" t="inlineStr">
        <is>
          <t>мат.</t>
        </is>
      </c>
      <c r="B27" s="487" t="n"/>
      <c r="C27" s="471" t="inlineStr">
        <is>
          <t>13АВ-РД-АР1.1-К6</t>
        </is>
      </c>
      <c r="D27" s="471" t="inlineStr">
        <is>
          <t>без даты</t>
        </is>
      </c>
      <c r="E27" s="471" t="inlineStr">
        <is>
          <t>Кладка</t>
        </is>
      </c>
      <c r="F27" s="471" t="inlineStr">
        <is>
          <t>БАЗА</t>
        </is>
      </c>
      <c r="G27" s="375" t="inlineStr">
        <is>
          <t>Внутренние стены D600 225 мм</t>
        </is>
      </c>
      <c r="H27" s="471" t="inlineStr">
        <is>
          <t>Корпус 6</t>
        </is>
      </c>
      <c r="I27" s="487" t="n"/>
      <c r="J27" s="487">
        <f>M27</f>
        <v/>
      </c>
      <c r="K27" s="450">
        <f>IF(AND(F27="БАЗА",J27=M27),O27,IF(F27&lt;&gt;"БАЗА","0",IF(J27&lt;&gt;M27,"Пересчет")))</f>
        <v/>
      </c>
      <c r="L27" s="472" t="inlineStr">
        <is>
          <t>Стена из газобетонных блоков, D600 - 225мм (подрезанные 250мм)</t>
        </is>
      </c>
      <c r="M27" s="487" t="inlineStr">
        <is>
          <t>м3</t>
        </is>
      </c>
      <c r="N27" s="480" t="n">
        <v>6.88</v>
      </c>
      <c r="O27" s="480">
        <f>SUM(X27:AY27)</f>
        <v/>
      </c>
      <c r="P27" s="487" t="n">
        <v>0</v>
      </c>
      <c r="Q27" s="487" t="n">
        <v>0</v>
      </c>
      <c r="R27" s="487">
        <f>O27*W27</f>
        <v/>
      </c>
      <c r="S27" s="487" t="n"/>
      <c r="T27" s="487" t="n"/>
      <c r="U27" s="487" t="n"/>
      <c r="V27" s="487" t="inlineStr">
        <is>
          <t>СВ-1.5</t>
        </is>
      </c>
      <c r="W27" s="487" t="n">
        <v>1</v>
      </c>
      <c r="X27" s="487" t="n"/>
      <c r="Y27" s="487" t="n">
        <v>0.29</v>
      </c>
      <c r="Z27" s="487" t="n">
        <v>0.29</v>
      </c>
      <c r="AA27" s="487" t="n">
        <v>0.29</v>
      </c>
      <c r="AB27" s="487" t="n">
        <v>0.29</v>
      </c>
      <c r="AC27" s="487" t="n">
        <v>0.29</v>
      </c>
      <c r="AD27" s="487" t="n">
        <v>0.29</v>
      </c>
      <c r="AE27" s="487" t="n">
        <v>0.29</v>
      </c>
      <c r="AF27" s="487" t="n">
        <v>0.28</v>
      </c>
      <c r="AG27" s="487" t="n">
        <v>0.29</v>
      </c>
      <c r="AH27" s="487" t="n">
        <v>0.28</v>
      </c>
      <c r="AI27" s="487" t="n">
        <v>0.28</v>
      </c>
      <c r="AJ27" s="487" t="n">
        <v>0.28</v>
      </c>
      <c r="AK27" s="487" t="n">
        <v>0.28</v>
      </c>
      <c r="AL27" s="487" t="n">
        <v>0.28</v>
      </c>
      <c r="AM27" s="487" t="n">
        <v>0.28</v>
      </c>
      <c r="AN27" s="487" t="n">
        <v>0.28</v>
      </c>
      <c r="AO27" s="487" t="n">
        <v>0.28</v>
      </c>
      <c r="AP27" s="487" t="n">
        <v>0.28</v>
      </c>
      <c r="AQ27" s="487" t="n">
        <v>0.28</v>
      </c>
      <c r="AR27" s="487" t="n">
        <v>0.28</v>
      </c>
      <c r="AS27" s="487" t="n">
        <v>0.28</v>
      </c>
      <c r="AT27" s="487" t="n">
        <v>0.28</v>
      </c>
      <c r="AU27" s="487" t="n">
        <v>0.28</v>
      </c>
      <c r="AV27" s="487" t="n">
        <v>0.28</v>
      </c>
      <c r="AW27" s="487" t="n"/>
      <c r="AX27" s="487" t="n"/>
      <c r="AY27" s="487" t="n"/>
    </row>
    <row r="28">
      <c r="A28" s="474" t="n"/>
      <c r="B28" s="474" t="n"/>
      <c r="C28" s="476" t="inlineStr">
        <is>
          <t>13АВ-РД-АР1.1-К6</t>
        </is>
      </c>
      <c r="D28" s="476" t="inlineStr">
        <is>
          <t>без даты</t>
        </is>
      </c>
      <c r="E28" s="476" t="inlineStr">
        <is>
          <t>Кладка</t>
        </is>
      </c>
      <c r="F28" s="476" t="inlineStr">
        <is>
          <t>БАЗА</t>
        </is>
      </c>
      <c r="G28" s="476">
        <f>G27</f>
        <v/>
      </c>
      <c r="H28" s="476" t="inlineStr">
        <is>
          <t>Корпус 6</t>
        </is>
      </c>
      <c r="I28" s="476" t="n"/>
      <c r="J28" s="476">
        <f>M28</f>
        <v/>
      </c>
      <c r="K28" s="476">
        <f>IF(AND(F28="БАЗА",J28=M28),O28,IF(F28&lt;&gt;"БАЗА","0",IF(J28&lt;&gt;M28,"Пересчет")))</f>
        <v/>
      </c>
      <c r="L28" s="478" t="inlineStr">
        <is>
          <t>Примыкания Стена из газобетонных блоков, D600 - 225мм (подрезанные 250мм)</t>
        </is>
      </c>
      <c r="M28" s="476" t="inlineStr">
        <is>
          <t>м.п</t>
        </is>
      </c>
      <c r="N28" s="476" t="n"/>
      <c r="O28" s="476">
        <f>SUM(X28:AY28)</f>
        <v/>
      </c>
      <c r="P28" s="476" t="n">
        <v>0</v>
      </c>
      <c r="Q28" s="476" t="n">
        <v>0</v>
      </c>
      <c r="R28" s="476">
        <f>O28*W28</f>
        <v/>
      </c>
      <c r="S28" s="476" t="n"/>
      <c r="T28" s="476" t="n"/>
      <c r="U28" s="476" t="n"/>
      <c r="V28" s="476" t="inlineStr">
        <is>
          <t>СВ-1.5</t>
        </is>
      </c>
      <c r="W28" s="476" t="n">
        <v>1</v>
      </c>
      <c r="X28" s="476" t="n"/>
      <c r="Y28" s="476" t="n">
        <v>1.325</v>
      </c>
      <c r="Z28" s="476" t="n">
        <v>1.325</v>
      </c>
      <c r="AA28" s="476" t="n">
        <v>1.325</v>
      </c>
      <c r="AB28" s="476" t="n">
        <v>1.325</v>
      </c>
      <c r="AC28" s="476" t="n">
        <v>1.325</v>
      </c>
      <c r="AD28" s="476" t="n">
        <v>1.325</v>
      </c>
      <c r="AE28" s="476" t="n">
        <v>1.325</v>
      </c>
      <c r="AF28" s="476" t="n">
        <v>1.41</v>
      </c>
      <c r="AG28" s="476" t="n">
        <v>1.325</v>
      </c>
      <c r="AH28" s="476" t="n">
        <v>1.41</v>
      </c>
      <c r="AI28" s="476" t="n">
        <v>1.41</v>
      </c>
      <c r="AJ28" s="476" t="n">
        <v>1.41</v>
      </c>
      <c r="AK28" s="476" t="n">
        <v>1.41</v>
      </c>
      <c r="AL28" s="476" t="n">
        <v>1.41</v>
      </c>
      <c r="AM28" s="476" t="n">
        <v>1.41</v>
      </c>
      <c r="AN28" s="476" t="n">
        <v>1.41</v>
      </c>
      <c r="AO28" s="476" t="n">
        <v>1.41</v>
      </c>
      <c r="AP28" s="476" t="n">
        <v>1.41</v>
      </c>
      <c r="AQ28" s="476" t="n">
        <v>1.41</v>
      </c>
      <c r="AR28" s="476" t="n">
        <v>1.41</v>
      </c>
      <c r="AS28" s="476" t="n">
        <v>1.41</v>
      </c>
      <c r="AT28" s="476" t="n">
        <v>1.41</v>
      </c>
      <c r="AU28" s="476" t="n">
        <v>1.41</v>
      </c>
      <c r="AV28" s="476" t="n">
        <v>1.41</v>
      </c>
      <c r="AW28" s="476" t="n"/>
      <c r="AX28" s="476" t="n"/>
      <c r="AY28" s="476" t="n"/>
    </row>
    <row r="29">
      <c r="A29" s="490" t="n"/>
      <c r="B29" s="490" t="n"/>
      <c r="C29" s="492" t="inlineStr">
        <is>
          <t>13АВ-РД-АР1.1-К6</t>
        </is>
      </c>
      <c r="D29" s="492" t="inlineStr">
        <is>
          <t>без даты</t>
        </is>
      </c>
      <c r="E29" s="492" t="inlineStr">
        <is>
          <t>Кладка</t>
        </is>
      </c>
      <c r="F29" s="492" t="inlineStr">
        <is>
          <t>БАЗА</t>
        </is>
      </c>
      <c r="G29" s="492" t="inlineStr">
        <is>
          <t>Перемычки D600 225мм</t>
        </is>
      </c>
      <c r="H29" s="492" t="inlineStr">
        <is>
          <t>Корпус 6</t>
        </is>
      </c>
      <c r="I29" s="492" t="n"/>
      <c r="J29" s="492">
        <f>M29</f>
        <v/>
      </c>
      <c r="K29" s="492">
        <f>IF(AND(F29="БАЗА",J29=M29),O29,IF(F29&lt;&gt;"БАЗА","0",IF(J29&lt;&gt;M29,"Пересчет")))</f>
        <v/>
      </c>
      <c r="L29" s="493" t="inlineStr">
        <is>
          <t>Уголок 40х5</t>
        </is>
      </c>
      <c r="M29" s="492" t="inlineStr">
        <is>
          <t>м.п</t>
        </is>
      </c>
      <c r="N29" s="492" t="n"/>
      <c r="O29" s="492">
        <f>SUM(X29:AY29)</f>
        <v/>
      </c>
      <c r="P29" s="492" t="n">
        <v>0</v>
      </c>
      <c r="Q29" s="492" t="n">
        <v>0</v>
      </c>
      <c r="R29" s="492">
        <f>O29*W29</f>
        <v/>
      </c>
      <c r="S29" s="492" t="n"/>
      <c r="T29" s="492" t="n"/>
      <c r="U29" s="492" t="n"/>
      <c r="V29" s="492">
        <f>V28</f>
        <v/>
      </c>
      <c r="W29" s="492" t="n">
        <v>1</v>
      </c>
      <c r="X29" s="492" t="n"/>
      <c r="Y29" s="492" t="n">
        <v>1.5</v>
      </c>
      <c r="Z29" s="492" t="n">
        <v>1.5</v>
      </c>
      <c r="AA29" s="492" t="n">
        <v>1.5</v>
      </c>
      <c r="AB29" s="492" t="n">
        <v>1.5</v>
      </c>
      <c r="AC29" s="492" t="n">
        <v>1.5</v>
      </c>
      <c r="AD29" s="492" t="n">
        <v>1.5</v>
      </c>
      <c r="AE29" s="492" t="n">
        <v>1.5</v>
      </c>
      <c r="AF29" s="492" t="n">
        <v>1.5</v>
      </c>
      <c r="AG29" s="492" t="n">
        <v>1.5</v>
      </c>
      <c r="AH29" s="492" t="n">
        <v>1.5</v>
      </c>
      <c r="AI29" s="492" t="n">
        <v>1.5</v>
      </c>
      <c r="AJ29" s="492" t="n">
        <v>1.5</v>
      </c>
      <c r="AK29" s="492" t="n">
        <v>1.5</v>
      </c>
      <c r="AL29" s="492" t="n">
        <v>1.5</v>
      </c>
      <c r="AM29" s="492" t="n">
        <v>1.5</v>
      </c>
      <c r="AN29" s="492" t="n"/>
      <c r="AO29" s="492" t="n"/>
      <c r="AP29" s="492" t="n"/>
      <c r="AQ29" s="492" t="n">
        <v>1.5</v>
      </c>
      <c r="AR29" s="492" t="n">
        <v>1.5</v>
      </c>
      <c r="AS29" s="492" t="n">
        <v>1.5</v>
      </c>
      <c r="AT29" s="492" t="n">
        <v>1.5</v>
      </c>
      <c r="AU29" s="492" t="n">
        <v>1.5</v>
      </c>
      <c r="AV29" s="492" t="n">
        <v>1.5</v>
      </c>
      <c r="AW29" s="492" t="n"/>
      <c r="AX29" s="492" t="n"/>
      <c r="AY29" s="492" t="n">
        <v>10.3</v>
      </c>
    </row>
    <row r="30">
      <c r="A30" s="490" t="n"/>
      <c r="B30" s="490" t="n"/>
      <c r="C30" s="492" t="inlineStr">
        <is>
          <t>13АВ-РД-АР1.1-К6</t>
        </is>
      </c>
      <c r="D30" s="492" t="inlineStr">
        <is>
          <t>без даты</t>
        </is>
      </c>
      <c r="E30" s="492" t="inlineStr">
        <is>
          <t>Кладка</t>
        </is>
      </c>
      <c r="F30" s="492" t="inlineStr">
        <is>
          <t>БАЗА</t>
        </is>
      </c>
      <c r="G30" s="492" t="inlineStr">
        <is>
          <t>Перемычки D600 225мм</t>
        </is>
      </c>
      <c r="H30" s="492" t="inlineStr">
        <is>
          <t>Корпус 6</t>
        </is>
      </c>
      <c r="I30" s="492" t="n"/>
      <c r="J30" s="492" t="n"/>
      <c r="K30" s="492">
        <f>IF(AND(F30="БАЗА",J30=M30),O30,IF(F30&lt;&gt;"БАЗА","0",IF(J30&lt;&gt;M30,"Пересчет")))</f>
        <v/>
      </c>
      <c r="L30" s="493" t="inlineStr">
        <is>
          <t>Пластина 50х4</t>
        </is>
      </c>
      <c r="M30" s="492" t="inlineStr">
        <is>
          <t>м.п</t>
        </is>
      </c>
      <c r="N30" s="492" t="n"/>
      <c r="O30" s="492">
        <f>SUM(X30:AY30)</f>
        <v/>
      </c>
      <c r="P30" s="492" t="n">
        <v>0</v>
      </c>
      <c r="Q30" s="492" t="n">
        <v>0</v>
      </c>
      <c r="R30" s="492">
        <f>O30*W30</f>
        <v/>
      </c>
      <c r="S30" s="492" t="n"/>
      <c r="T30" s="492" t="n"/>
      <c r="U30" s="492" t="n"/>
      <c r="V30" s="492">
        <f>V29</f>
        <v/>
      </c>
      <c r="W30" s="492" t="n">
        <v>1</v>
      </c>
      <c r="X30" s="492" t="n"/>
      <c r="Y30" s="492" t="n">
        <v>0.225</v>
      </c>
      <c r="Z30" s="492" t="n">
        <v>0.225</v>
      </c>
      <c r="AA30" s="492" t="n">
        <v>0.225</v>
      </c>
      <c r="AB30" s="492" t="n">
        <v>0.225</v>
      </c>
      <c r="AC30" s="492" t="n">
        <v>0.225</v>
      </c>
      <c r="AD30" s="492" t="n">
        <v>0.225</v>
      </c>
      <c r="AE30" s="492" t="n">
        <v>0.225</v>
      </c>
      <c r="AF30" s="492" t="n">
        <v>0.225</v>
      </c>
      <c r="AG30" s="492" t="n">
        <v>0.225</v>
      </c>
      <c r="AH30" s="492" t="n">
        <v>0.225</v>
      </c>
      <c r="AI30" s="492" t="n">
        <v>0.225</v>
      </c>
      <c r="AJ30" s="492" t="n">
        <v>0.225</v>
      </c>
      <c r="AK30" s="492" t="n">
        <v>0.225</v>
      </c>
      <c r="AL30" s="492" t="n">
        <v>0.225</v>
      </c>
      <c r="AM30" s="492" t="n">
        <v>0.225</v>
      </c>
      <c r="AN30" s="492" t="n"/>
      <c r="AO30" s="492" t="n"/>
      <c r="AP30" s="492" t="n"/>
      <c r="AQ30" s="492" t="n">
        <v>0.225</v>
      </c>
      <c r="AR30" s="492" t="n">
        <v>0.225</v>
      </c>
      <c r="AS30" s="492" t="n">
        <v>0.225</v>
      </c>
      <c r="AT30" s="492" t="n">
        <v>0.225</v>
      </c>
      <c r="AU30" s="492" t="n">
        <v>0.225</v>
      </c>
      <c r="AV30" s="492" t="n">
        <v>0.225</v>
      </c>
      <c r="AW30" s="492" t="n"/>
      <c r="AX30" s="492" t="n"/>
      <c r="AY30" s="492" t="n"/>
    </row>
    <row r="31">
      <c r="A31" s="358" t="inlineStr">
        <is>
          <t>мат.</t>
        </is>
      </c>
      <c r="B31" s="487" t="n"/>
      <c r="C31" s="471" t="inlineStr">
        <is>
          <t>13АВ-РД-АР1.1-К6</t>
        </is>
      </c>
      <c r="D31" s="471" t="inlineStr">
        <is>
          <t>без даты</t>
        </is>
      </c>
      <c r="E31" s="471" t="inlineStr">
        <is>
          <t>Кладка</t>
        </is>
      </c>
      <c r="F31" s="471" t="inlineStr">
        <is>
          <t>БАЗА</t>
        </is>
      </c>
      <c r="G31" s="375" t="inlineStr">
        <is>
          <t>Внутренние стены D600 250 мм</t>
        </is>
      </c>
      <c r="H31" s="471" t="inlineStr">
        <is>
          <t>Корпус 6</t>
        </is>
      </c>
      <c r="I31" s="487" t="n"/>
      <c r="J31" s="487">
        <f>M31</f>
        <v/>
      </c>
      <c r="K31" s="450">
        <f>IF(AND(F31="БАЗА",J31=M31),O31,IF(F31&lt;&gt;"БАЗА","0",IF(J31&lt;&gt;M31,"Пересчет")))</f>
        <v/>
      </c>
      <c r="L31" s="472" t="inlineStr">
        <is>
          <t>Стена из газобетонных блоков, D600 - 250мм</t>
        </is>
      </c>
      <c r="M31" s="487" t="inlineStr">
        <is>
          <t>м3</t>
        </is>
      </c>
      <c r="N31" s="480" t="n">
        <v>32.85</v>
      </c>
      <c r="O31" s="480">
        <f>SUM(X31:AY31)</f>
        <v/>
      </c>
      <c r="P31" s="487" t="n">
        <v>0</v>
      </c>
      <c r="Q31" s="487" t="n">
        <v>0</v>
      </c>
      <c r="R31" s="487">
        <f>O31*W31</f>
        <v/>
      </c>
      <c r="S31" s="487" t="n"/>
      <c r="T31" s="487" t="n"/>
      <c r="U31" s="487" t="n"/>
      <c r="V31" s="487" t="inlineStr">
        <is>
          <t>СВ-1.1</t>
        </is>
      </c>
      <c r="W31" s="487" t="n">
        <v>1</v>
      </c>
      <c r="X31" s="487" t="n"/>
      <c r="Y31" s="487" t="n">
        <v>2.78</v>
      </c>
      <c r="Z31" s="487" t="n">
        <v>2.78</v>
      </c>
      <c r="AA31" s="487" t="n">
        <v>2.79</v>
      </c>
      <c r="AB31" s="487" t="n">
        <v>2.78</v>
      </c>
      <c r="AC31" s="487" t="n">
        <v>2.62</v>
      </c>
      <c r="AD31" s="487" t="n">
        <v>2.78</v>
      </c>
      <c r="AE31" s="487" t="n">
        <v>2.78</v>
      </c>
      <c r="AF31" s="487" t="n">
        <v>2.8</v>
      </c>
      <c r="AG31" s="487" t="n">
        <v>2.78</v>
      </c>
      <c r="AH31" s="487" t="n"/>
      <c r="AI31" s="487" t="n"/>
      <c r="AJ31" s="487" t="n"/>
      <c r="AK31" s="487" t="n"/>
      <c r="AL31" s="487" t="n"/>
      <c r="AM31" s="487" t="n"/>
      <c r="AN31" s="487" t="n"/>
      <c r="AO31" s="487" t="n"/>
      <c r="AP31" s="487" t="n"/>
      <c r="AQ31" s="487" t="n"/>
      <c r="AR31" s="487" t="n"/>
      <c r="AS31" s="487" t="n"/>
      <c r="AT31" s="487" t="n"/>
      <c r="AU31" s="487" t="n"/>
      <c r="AV31" s="487" t="n"/>
      <c r="AW31" s="487" t="n">
        <v>2.53</v>
      </c>
      <c r="AX31" s="487">
        <f>1.39+1.58</f>
        <v/>
      </c>
      <c r="AY31" s="487" t="n">
        <v>2.5</v>
      </c>
    </row>
    <row r="32">
      <c r="A32" s="474" t="n"/>
      <c r="B32" s="474" t="n"/>
      <c r="C32" s="476" t="inlineStr">
        <is>
          <t>13АВ-РД-АР1.1-К6</t>
        </is>
      </c>
      <c r="D32" s="476" t="inlineStr">
        <is>
          <t>без даты</t>
        </is>
      </c>
      <c r="E32" s="476" t="inlineStr">
        <is>
          <t>Кладка</t>
        </is>
      </c>
      <c r="F32" s="476" t="inlineStr">
        <is>
          <t>БАЗА</t>
        </is>
      </c>
      <c r="G32" s="476">
        <f>G31</f>
        <v/>
      </c>
      <c r="H32" s="476" t="inlineStr">
        <is>
          <t>Корпус 6</t>
        </is>
      </c>
      <c r="I32" s="476" t="n"/>
      <c r="J32" s="476">
        <f>M32</f>
        <v/>
      </c>
      <c r="K32" s="476">
        <f>IF(AND(F32="БАЗА",J32=M32),O32,IF(F32&lt;&gt;"БАЗА","0",IF(J32&lt;&gt;M32,"Пересчет")))</f>
        <v/>
      </c>
      <c r="L32" s="478" t="inlineStr">
        <is>
          <t>Примыкания Стена из газобетонных блоков, D600 - 250мм</t>
        </is>
      </c>
      <c r="M32" s="476" t="inlineStr">
        <is>
          <t>м.п</t>
        </is>
      </c>
      <c r="N32" s="476" t="n"/>
      <c r="O32" s="476">
        <f>SUM(X32:AY32)</f>
        <v/>
      </c>
      <c r="P32" s="476" t="n">
        <v>0</v>
      </c>
      <c r="Q32" s="476" t="n">
        <v>0</v>
      </c>
      <c r="R32" s="476">
        <f>O32*W32</f>
        <v/>
      </c>
      <c r="S32" s="476" t="n"/>
      <c r="T32" s="476" t="n"/>
      <c r="U32" s="476" t="n"/>
      <c r="V32" s="476" t="inlineStr">
        <is>
          <t>СВ-1.1</t>
        </is>
      </c>
      <c r="W32" s="476" t="n">
        <v>1</v>
      </c>
      <c r="X32" s="476" t="n"/>
      <c r="Y32" s="476" t="n">
        <v>4.54</v>
      </c>
      <c r="Z32" s="476" t="n">
        <v>4.54</v>
      </c>
      <c r="AA32" s="476" t="n">
        <v>4.565</v>
      </c>
      <c r="AB32" s="476" t="n">
        <v>4.54</v>
      </c>
      <c r="AC32" s="476" t="n">
        <v>4.345</v>
      </c>
      <c r="AD32" s="476" t="n">
        <v>4.54</v>
      </c>
      <c r="AE32" s="476" t="n">
        <v>4.54</v>
      </c>
      <c r="AF32" s="476" t="n">
        <v>4.48</v>
      </c>
      <c r="AG32" s="476" t="n">
        <v>4.54</v>
      </c>
      <c r="AH32" s="476" t="n"/>
      <c r="AI32" s="476" t="n"/>
      <c r="AJ32" s="476" t="n"/>
      <c r="AK32" s="476" t="n"/>
      <c r="AL32" s="476" t="n"/>
      <c r="AM32" s="476" t="n"/>
      <c r="AN32" s="476" t="n"/>
      <c r="AO32" s="476" t="n"/>
      <c r="AP32" s="476" t="n"/>
      <c r="AQ32" s="476" t="n"/>
      <c r="AR32" s="476" t="n"/>
      <c r="AS32" s="476" t="n"/>
      <c r="AT32" s="476" t="n"/>
      <c r="AU32" s="476" t="n"/>
      <c r="AV32" s="476" t="n"/>
      <c r="AW32" s="476" t="n">
        <v>3.4</v>
      </c>
      <c r="AX32" s="476">
        <f>1.61+2.04</f>
        <v/>
      </c>
      <c r="AY32" s="476" t="n">
        <v>2.85</v>
      </c>
    </row>
    <row r="33">
      <c r="A33" s="490" t="n"/>
      <c r="B33" s="490" t="n"/>
      <c r="C33" s="492" t="inlineStr">
        <is>
          <t>13АВ-РД-АР1.1-К6</t>
        </is>
      </c>
      <c r="D33" s="492" t="inlineStr">
        <is>
          <t>без даты</t>
        </is>
      </c>
      <c r="E33" s="492" t="inlineStr">
        <is>
          <t>Кладка</t>
        </is>
      </c>
      <c r="F33" s="492" t="inlineStr">
        <is>
          <t>БАЗА</t>
        </is>
      </c>
      <c r="G33" s="492" t="inlineStr">
        <is>
          <t>Перемычки D600 250мм</t>
        </is>
      </c>
      <c r="H33" s="492" t="inlineStr">
        <is>
          <t>Корпус 6</t>
        </is>
      </c>
      <c r="I33" s="492" t="n"/>
      <c r="J33" s="492">
        <f>M33</f>
        <v/>
      </c>
      <c r="K33" s="492">
        <f>IF(AND(F33="БАЗА",J33=M33),O33,IF(F33&lt;&gt;"БАЗА","0",IF(J33&lt;&gt;M33,"Пересчет")))</f>
        <v/>
      </c>
      <c r="L33" s="493" t="inlineStr">
        <is>
          <t>Уголок 40х5</t>
        </is>
      </c>
      <c r="M33" s="492" t="inlineStr">
        <is>
          <t>м.п</t>
        </is>
      </c>
      <c r="N33" s="492" t="n"/>
      <c r="O33" s="492">
        <f>SUM(X33:AY33)</f>
        <v/>
      </c>
      <c r="P33" s="492" t="n">
        <v>0</v>
      </c>
      <c r="Q33" s="492" t="n">
        <v>0</v>
      </c>
      <c r="R33" s="492">
        <f>O33*W33</f>
        <v/>
      </c>
      <c r="S33" s="492" t="n"/>
      <c r="T33" s="492" t="n"/>
      <c r="U33" s="492" t="n"/>
      <c r="V33" s="492">
        <f>V32</f>
        <v/>
      </c>
      <c r="W33" s="492" t="n">
        <v>1</v>
      </c>
      <c r="X33" s="492" t="n"/>
      <c r="Y33" s="492" t="n">
        <v>1.5</v>
      </c>
      <c r="Z33" s="492" t="n">
        <v>1.5</v>
      </c>
      <c r="AA33" s="492" t="n">
        <v>1.5</v>
      </c>
      <c r="AB33" s="492" t="n">
        <v>1.5</v>
      </c>
      <c r="AC33" s="492" t="n">
        <v>1.5</v>
      </c>
      <c r="AD33" s="492" t="n">
        <v>1.5</v>
      </c>
      <c r="AE33" s="492" t="n">
        <v>1.5</v>
      </c>
      <c r="AF33" s="492" t="n">
        <v>1.5</v>
      </c>
      <c r="AG33" s="492" t="n">
        <v>1.5</v>
      </c>
      <c r="AH33" s="492" t="n"/>
      <c r="AI33" s="492" t="n"/>
      <c r="AJ33" s="492" t="n"/>
      <c r="AK33" s="492" t="n"/>
      <c r="AL33" s="492" t="n"/>
      <c r="AM33" s="492" t="n"/>
      <c r="AN33" s="492" t="n"/>
      <c r="AO33" s="492" t="n"/>
      <c r="AP33" s="492" t="n"/>
      <c r="AQ33" s="492" t="n"/>
      <c r="AR33" s="492" t="n"/>
      <c r="AS33" s="492" t="n"/>
      <c r="AT33" s="492" t="n"/>
      <c r="AU33" s="492" t="n"/>
      <c r="AV33" s="492" t="n"/>
      <c r="AW33" s="492" t="n"/>
      <c r="AX33" s="492" t="n"/>
      <c r="AY33" s="492" t="n"/>
    </row>
    <row r="34">
      <c r="A34" s="490" t="n"/>
      <c r="B34" s="490" t="n"/>
      <c r="C34" s="492" t="inlineStr">
        <is>
          <t>13АВ-РД-АР1.1-К6</t>
        </is>
      </c>
      <c r="D34" s="492" t="inlineStr">
        <is>
          <t>без даты</t>
        </is>
      </c>
      <c r="E34" s="492" t="inlineStr">
        <is>
          <t>Кладка</t>
        </is>
      </c>
      <c r="F34" s="492" t="inlineStr">
        <is>
          <t>БАЗА</t>
        </is>
      </c>
      <c r="G34" s="492" t="inlineStr">
        <is>
          <t>Перемычки D600 250мм</t>
        </is>
      </c>
      <c r="H34" s="492" t="inlineStr">
        <is>
          <t>Корпус 6</t>
        </is>
      </c>
      <c r="I34" s="492" t="n"/>
      <c r="J34" s="492">
        <f>M34</f>
        <v/>
      </c>
      <c r="K34" s="492">
        <f>IF(AND(F34="БАЗА",J34=M34),O34,IF(F34&lt;&gt;"БАЗА","0",IF(J34&lt;&gt;M34,"Пересчет")))</f>
        <v/>
      </c>
      <c r="L34" s="493" t="inlineStr">
        <is>
          <t>Пластина 50х4</t>
        </is>
      </c>
      <c r="M34" s="492" t="inlineStr">
        <is>
          <t>м.п</t>
        </is>
      </c>
      <c r="N34" s="492" t="n"/>
      <c r="O34" s="492">
        <f>SUM(X34:AY34)</f>
        <v/>
      </c>
      <c r="P34" s="492" t="n">
        <v>0</v>
      </c>
      <c r="Q34" s="492" t="n">
        <v>0</v>
      </c>
      <c r="R34" s="492">
        <f>O34*W34</f>
        <v/>
      </c>
      <c r="S34" s="492" t="n"/>
      <c r="T34" s="492" t="n"/>
      <c r="U34" s="492" t="n"/>
      <c r="V34" s="492">
        <f>V33</f>
        <v/>
      </c>
      <c r="W34" s="492" t="n">
        <v>1</v>
      </c>
      <c r="X34" s="492" t="n"/>
      <c r="Y34" s="492" t="n">
        <v>0.25</v>
      </c>
      <c r="Z34" s="492" t="n">
        <v>0.25</v>
      </c>
      <c r="AA34" s="492" t="n">
        <v>0.25</v>
      </c>
      <c r="AB34" s="492" t="n">
        <v>0.25</v>
      </c>
      <c r="AC34" s="492" t="n">
        <v>0.25</v>
      </c>
      <c r="AD34" s="492" t="n">
        <v>0.25</v>
      </c>
      <c r="AE34" s="492" t="n">
        <v>0.25</v>
      </c>
      <c r="AF34" s="492" t="n">
        <v>0.25</v>
      </c>
      <c r="AG34" s="492" t="n">
        <v>0.25</v>
      </c>
      <c r="AH34" s="492" t="n"/>
      <c r="AI34" s="492" t="n"/>
      <c r="AJ34" s="492" t="n"/>
      <c r="AK34" s="492" t="n"/>
      <c r="AL34" s="492" t="n"/>
      <c r="AM34" s="492" t="n"/>
      <c r="AN34" s="492" t="n"/>
      <c r="AO34" s="492" t="n"/>
      <c r="AP34" s="492" t="n"/>
      <c r="AQ34" s="492" t="n"/>
      <c r="AR34" s="492" t="n"/>
      <c r="AS34" s="492" t="n"/>
      <c r="AT34" s="492" t="n"/>
      <c r="AU34" s="492" t="n"/>
      <c r="AV34" s="492" t="n"/>
      <c r="AW34" s="492" t="n"/>
      <c r="AX34" s="492" t="n"/>
      <c r="AY34" s="492" t="n"/>
    </row>
    <row r="35">
      <c r="A35" s="358" t="inlineStr">
        <is>
          <t>мат.</t>
        </is>
      </c>
      <c r="B35" s="487" t="n"/>
      <c r="C35" s="471" t="inlineStr">
        <is>
          <t>13АВ-РД-АР1.1-К6</t>
        </is>
      </c>
      <c r="D35" s="471" t="inlineStr">
        <is>
          <t>без даты</t>
        </is>
      </c>
      <c r="E35" s="471" t="inlineStr">
        <is>
          <t>Кладка</t>
        </is>
      </c>
      <c r="F35" s="471" t="inlineStr">
        <is>
          <t>БАЗА</t>
        </is>
      </c>
      <c r="G35" s="375" t="inlineStr">
        <is>
          <t>Внутренние стены 190 мм</t>
        </is>
      </c>
      <c r="H35" s="471" t="inlineStr">
        <is>
          <t>Корпус 6</t>
        </is>
      </c>
      <c r="I35" s="487" t="n"/>
      <c r="J35" s="487">
        <f>M35</f>
        <v/>
      </c>
      <c r="K35" s="450">
        <f>IF(AND(F35="БАЗА",J35=M35),O35,IF(F35&lt;&gt;"БАЗА","0",IF(J35&lt;&gt;M35,"Пересчет")))</f>
        <v/>
      </c>
      <c r="L35" s="472" t="inlineStr">
        <is>
          <t>Перегородка из бетонный камней, полнотелый, толщиной 190 мм на ц/п растворе</t>
        </is>
      </c>
      <c r="M35" s="487" t="inlineStr">
        <is>
          <t>м3</t>
        </is>
      </c>
      <c r="N35" s="480" t="n">
        <v>37.96</v>
      </c>
      <c r="O35" s="480">
        <f>SUM(X35:AY35)</f>
        <v/>
      </c>
      <c r="P35" s="487" t="n">
        <v>0</v>
      </c>
      <c r="Q35" s="487" t="n">
        <v>0</v>
      </c>
      <c r="R35" s="487">
        <f>O35*W35</f>
        <v/>
      </c>
      <c r="S35" s="487" t="n"/>
      <c r="T35" s="487" t="n"/>
      <c r="U35" s="487" t="n"/>
      <c r="V35" s="487" t="inlineStr">
        <is>
          <t>СВ-3.1</t>
        </is>
      </c>
      <c r="W35" s="487" t="n">
        <v>1</v>
      </c>
      <c r="X35" s="487" t="n"/>
      <c r="Y35" s="487" t="n">
        <v>1.41</v>
      </c>
      <c r="Z35" s="487" t="n">
        <v>1.41</v>
      </c>
      <c r="AA35" s="487" t="n">
        <v>1.41</v>
      </c>
      <c r="AB35" s="487" t="n">
        <v>1.41</v>
      </c>
      <c r="AC35" s="487" t="n">
        <v>1.41</v>
      </c>
      <c r="AD35" s="487" t="n">
        <v>1.41</v>
      </c>
      <c r="AE35" s="487" t="n">
        <v>1.41</v>
      </c>
      <c r="AF35" s="487" t="n">
        <v>1.41</v>
      </c>
      <c r="AG35" s="487" t="n">
        <v>1.41</v>
      </c>
      <c r="AH35" s="487" t="n">
        <v>1.41</v>
      </c>
      <c r="AI35" s="487" t="n">
        <v>1.41</v>
      </c>
      <c r="AJ35" s="487" t="n">
        <v>1.41</v>
      </c>
      <c r="AK35" s="487" t="n">
        <v>1.41</v>
      </c>
      <c r="AL35" s="487" t="n">
        <v>1.41</v>
      </c>
      <c r="AM35" s="487" t="n">
        <v>1.41</v>
      </c>
      <c r="AN35" s="487" t="n">
        <v>1.41</v>
      </c>
      <c r="AO35" s="487" t="n">
        <v>1.41</v>
      </c>
      <c r="AP35" s="487" t="n">
        <v>1.41</v>
      </c>
      <c r="AQ35" s="487" t="n">
        <v>1.41</v>
      </c>
      <c r="AR35" s="487" t="n">
        <v>1.41</v>
      </c>
      <c r="AS35" s="487" t="n">
        <v>1.41</v>
      </c>
      <c r="AT35" s="487" t="n">
        <v>1.41</v>
      </c>
      <c r="AU35" s="487" t="n">
        <v>1.41</v>
      </c>
      <c r="AV35" s="487" t="n">
        <v>1.41</v>
      </c>
      <c r="AW35" s="487" t="n">
        <v>1.41</v>
      </c>
      <c r="AX35" s="487" t="n">
        <v>1.41</v>
      </c>
      <c r="AY35" s="487" t="n">
        <v>1.41</v>
      </c>
    </row>
    <row r="36">
      <c r="A36" s="474" t="n"/>
      <c r="B36" s="474" t="n"/>
      <c r="C36" s="476" t="inlineStr">
        <is>
          <t>13АВ-РД-АР1.1-К6</t>
        </is>
      </c>
      <c r="D36" s="476" t="inlineStr">
        <is>
          <t>без даты</t>
        </is>
      </c>
      <c r="E36" s="476" t="inlineStr">
        <is>
          <t>Кладка</t>
        </is>
      </c>
      <c r="F36" s="476" t="inlineStr">
        <is>
          <t>БАЗА</t>
        </is>
      </c>
      <c r="G36" s="476">
        <f>G35</f>
        <v/>
      </c>
      <c r="H36" s="476" t="inlineStr">
        <is>
          <t>Корпус 6</t>
        </is>
      </c>
      <c r="I36" s="476" t="n"/>
      <c r="J36" s="476">
        <f>M36</f>
        <v/>
      </c>
      <c r="K36" s="476">
        <f>IF(AND(F36="БАЗА",J36=M36),O36,IF(F36&lt;&gt;"БАЗА","0",IF(J36&lt;&gt;M36,"Пересчет")))</f>
        <v/>
      </c>
      <c r="L36" s="478" t="inlineStr">
        <is>
          <t>Примыкания Перегородка из бетонный камней, полнотелый, толщиной 190 мм на ц/п растворе</t>
        </is>
      </c>
      <c r="M36" s="476" t="inlineStr">
        <is>
          <t>м.п</t>
        </is>
      </c>
      <c r="N36" s="476" t="n"/>
      <c r="O36" s="476">
        <f>SUM(X36:AY36)</f>
        <v/>
      </c>
      <c r="P36" s="476" t="n">
        <v>0</v>
      </c>
      <c r="Q36" s="476" t="n">
        <v>0</v>
      </c>
      <c r="R36" s="476">
        <f>O36*W36</f>
        <v/>
      </c>
      <c r="S36" s="476" t="n"/>
      <c r="T36" s="476" t="n"/>
      <c r="U36" s="476" t="n"/>
      <c r="V36" s="476" t="inlineStr">
        <is>
          <t>СВ-3.1</t>
        </is>
      </c>
      <c r="W36" s="476" t="n">
        <v>1</v>
      </c>
      <c r="X36" s="476" t="n"/>
      <c r="Y36" s="476" t="n">
        <v>8</v>
      </c>
      <c r="Z36" s="476" t="n">
        <v>8</v>
      </c>
      <c r="AA36" s="476" t="n">
        <v>8</v>
      </c>
      <c r="AB36" s="476" t="n">
        <v>8</v>
      </c>
      <c r="AC36" s="476" t="n">
        <v>8</v>
      </c>
      <c r="AD36" s="476" t="n">
        <v>8</v>
      </c>
      <c r="AE36" s="476" t="n">
        <v>8</v>
      </c>
      <c r="AF36" s="476" t="n">
        <v>8</v>
      </c>
      <c r="AG36" s="476" t="n">
        <v>8</v>
      </c>
      <c r="AH36" s="476" t="n">
        <v>8.1</v>
      </c>
      <c r="AI36" s="476" t="n">
        <v>8.1</v>
      </c>
      <c r="AJ36" s="476" t="n">
        <v>8.1</v>
      </c>
      <c r="AK36" s="476" t="n">
        <v>8.1</v>
      </c>
      <c r="AL36" s="476" t="n">
        <v>8.1</v>
      </c>
      <c r="AM36" s="476" t="n">
        <v>8.1</v>
      </c>
      <c r="AN36" s="476" t="n">
        <v>8.1</v>
      </c>
      <c r="AO36" s="476" t="n">
        <v>8.1</v>
      </c>
      <c r="AP36" s="476" t="n">
        <v>8.1</v>
      </c>
      <c r="AQ36" s="476" t="n">
        <v>8.1</v>
      </c>
      <c r="AR36" s="476" t="n">
        <v>8.1</v>
      </c>
      <c r="AS36" s="476" t="n">
        <v>8.1</v>
      </c>
      <c r="AT36" s="476" t="n">
        <v>8.1</v>
      </c>
      <c r="AU36" s="476" t="n">
        <v>8.1</v>
      </c>
      <c r="AV36" s="476" t="n">
        <v>8.1</v>
      </c>
      <c r="AW36" s="476" t="n">
        <v>8.1</v>
      </c>
      <c r="AX36" s="476" t="n">
        <v>8</v>
      </c>
      <c r="AY36" s="476" t="n">
        <v>8</v>
      </c>
    </row>
    <row r="37">
      <c r="A37" s="490" t="n"/>
      <c r="B37" s="490" t="n"/>
      <c r="C37" s="492" t="inlineStr">
        <is>
          <t>13АВ-РД-АР1.1-К6</t>
        </is>
      </c>
      <c r="D37" s="492" t="inlineStr">
        <is>
          <t>без даты</t>
        </is>
      </c>
      <c r="E37" s="492" t="inlineStr">
        <is>
          <t>Кладка</t>
        </is>
      </c>
      <c r="F37" s="492" t="inlineStr">
        <is>
          <t>БАЗА</t>
        </is>
      </c>
      <c r="G37" s="492" t="inlineStr">
        <is>
          <t>Перемычки D1950 80 мм</t>
        </is>
      </c>
      <c r="H37" s="492" t="inlineStr">
        <is>
          <t>Корпус 6</t>
        </is>
      </c>
      <c r="I37" s="492" t="n"/>
      <c r="J37" s="492">
        <f>M37</f>
        <v/>
      </c>
      <c r="K37" s="492">
        <f>IF(AND(F37="БАЗА",J37=M37),O37,IF(F37&lt;&gt;"БАЗА","0",IF(J37&lt;&gt;M37,"Пересчет")))</f>
        <v/>
      </c>
      <c r="L37" s="493" t="inlineStr">
        <is>
          <t>Уголок 75х6</t>
        </is>
      </c>
      <c r="M37" s="492" t="inlineStr">
        <is>
          <t>м.п</t>
        </is>
      </c>
      <c r="N37" s="492" t="n"/>
      <c r="O37" s="492">
        <f>SUM(X37:AY37)</f>
        <v/>
      </c>
      <c r="P37" s="492" t="n">
        <v>0</v>
      </c>
      <c r="Q37" s="492" t="n">
        <v>0</v>
      </c>
      <c r="R37" s="492">
        <f>O37*W37</f>
        <v/>
      </c>
      <c r="S37" s="492" t="n"/>
      <c r="T37" s="492" t="n"/>
      <c r="U37" s="492" t="n"/>
      <c r="V37" s="492">
        <f>V16</f>
        <v/>
      </c>
      <c r="W37" s="492" t="n">
        <v>1</v>
      </c>
      <c r="X37" s="492" t="n"/>
      <c r="Y37" s="492" t="n">
        <v>12</v>
      </c>
      <c r="Z37" s="492" t="n">
        <v>12</v>
      </c>
      <c r="AA37" s="492" t="n">
        <v>12</v>
      </c>
      <c r="AB37" s="492" t="n">
        <v>12</v>
      </c>
      <c r="AC37" s="492" t="n">
        <v>13.2</v>
      </c>
      <c r="AD37" s="492" t="n">
        <v>12</v>
      </c>
      <c r="AE37" s="492" t="n">
        <v>12</v>
      </c>
      <c r="AF37" s="492" t="n">
        <v>12</v>
      </c>
      <c r="AG37" s="492" t="n">
        <v>12</v>
      </c>
      <c r="AH37" s="492" t="n">
        <v>14.4</v>
      </c>
      <c r="AI37" s="492" t="n">
        <v>14.4</v>
      </c>
      <c r="AJ37" s="492" t="n">
        <v>14.4</v>
      </c>
      <c r="AK37" s="492" t="n">
        <v>14.4</v>
      </c>
      <c r="AL37" s="492" t="n">
        <v>14.4</v>
      </c>
      <c r="AM37" s="492" t="n">
        <v>15.6</v>
      </c>
      <c r="AN37" s="492" t="n">
        <v>15.6</v>
      </c>
      <c r="AO37" s="492" t="n">
        <v>15.6</v>
      </c>
      <c r="AP37" s="492" t="n">
        <v>13.2</v>
      </c>
      <c r="AQ37" s="492" t="n">
        <v>17.8</v>
      </c>
      <c r="AR37" s="492" t="n">
        <v>15.5</v>
      </c>
      <c r="AS37" s="492" t="n">
        <v>14.3</v>
      </c>
      <c r="AT37" s="492" t="n">
        <v>14.3</v>
      </c>
      <c r="AU37" s="492" t="n">
        <v>14.3</v>
      </c>
      <c r="AV37" s="492" t="n">
        <v>14.3</v>
      </c>
      <c r="AW37" s="492" t="n">
        <v>19.2</v>
      </c>
      <c r="AX37" s="492" t="n">
        <v>19.2</v>
      </c>
      <c r="AY37" s="492" t="n">
        <v>13.2</v>
      </c>
    </row>
    <row r="38">
      <c r="A38" s="358" t="inlineStr">
        <is>
          <t>мат.</t>
        </is>
      </c>
      <c r="B38" s="487" t="n"/>
      <c r="C38" s="471" t="inlineStr">
        <is>
          <t>13АВ-РД-АР1.1-К6</t>
        </is>
      </c>
      <c r="D38" s="471" t="inlineStr">
        <is>
          <t>без даты</t>
        </is>
      </c>
      <c r="E38" s="471" t="inlineStr">
        <is>
          <t>Кладка</t>
        </is>
      </c>
      <c r="F38" s="471" t="inlineStr">
        <is>
          <t>БАЗА</t>
        </is>
      </c>
      <c r="G38" s="375" t="inlineStr">
        <is>
          <t>Внутренние стены D1950 80 мм</t>
        </is>
      </c>
      <c r="H38" s="471" t="inlineStr">
        <is>
          <t>Корпус 6</t>
        </is>
      </c>
      <c r="I38" s="487" t="n"/>
      <c r="J38" s="487">
        <f>M38</f>
        <v/>
      </c>
      <c r="K38" s="450">
        <f>IF(AND(F38="БАЗА",J38=M38),O38,IF(F38&lt;&gt;"БАЗА","0",IF(J38&lt;&gt;M38,"Пересчет")))</f>
        <v/>
      </c>
      <c r="L38" s="472" t="inlineStr">
        <is>
          <t>Перегородкаиз силикатных полнотелых
пазогребневых плит, D1950 - 80мм</t>
        </is>
      </c>
      <c r="M38" s="487" t="inlineStr">
        <is>
          <t>м2</t>
        </is>
      </c>
      <c r="N38" s="480" t="n">
        <v>4313.17</v>
      </c>
      <c r="O38" s="480">
        <f>SUM(X38:AY38)</f>
        <v/>
      </c>
      <c r="P38" s="487" t="n">
        <v>0</v>
      </c>
      <c r="Q38" s="487" t="n">
        <v>0</v>
      </c>
      <c r="R38" s="487">
        <f>O38*W38</f>
        <v/>
      </c>
      <c r="S38" s="487" t="n"/>
      <c r="T38" s="487" t="n"/>
      <c r="U38" s="487" t="n"/>
      <c r="V38" s="487" t="inlineStr">
        <is>
          <t>СВ-2.2</t>
        </is>
      </c>
      <c r="W38" s="487" t="n">
        <v>1</v>
      </c>
      <c r="X38" s="487" t="n"/>
      <c r="Y38" s="487" t="n">
        <v>162.625</v>
      </c>
      <c r="Z38" s="487" t="n">
        <v>163</v>
      </c>
      <c r="AA38" s="487" t="n">
        <v>162.625</v>
      </c>
      <c r="AB38" s="487" t="n">
        <v>162.625</v>
      </c>
      <c r="AC38" s="487" t="n">
        <v>160.875</v>
      </c>
      <c r="AD38" s="487" t="n">
        <v>162.625</v>
      </c>
      <c r="AE38" s="487" t="n">
        <v>162.625</v>
      </c>
      <c r="AF38" s="487" t="n">
        <v>160.625</v>
      </c>
      <c r="AG38" s="487" t="n">
        <v>160.625</v>
      </c>
      <c r="AH38" s="487" t="n">
        <v>143.25</v>
      </c>
      <c r="AI38" s="487" t="n">
        <v>173</v>
      </c>
      <c r="AJ38" s="487" t="n">
        <v>145.25</v>
      </c>
      <c r="AK38" s="487" t="n">
        <v>145.25</v>
      </c>
      <c r="AL38" s="487" t="n">
        <v>114.75</v>
      </c>
      <c r="AM38" s="487" t="n">
        <v>145</v>
      </c>
      <c r="AN38" s="487" t="n">
        <v>145</v>
      </c>
      <c r="AO38" s="487" t="n">
        <v>145</v>
      </c>
      <c r="AP38" s="487" t="n">
        <v>145</v>
      </c>
      <c r="AQ38" s="487" t="n">
        <v>174</v>
      </c>
      <c r="AR38" s="487" t="n">
        <v>170.875</v>
      </c>
      <c r="AS38" s="487" t="n">
        <v>179.5</v>
      </c>
      <c r="AT38" s="487" t="n">
        <v>179.5</v>
      </c>
      <c r="AU38" s="487" t="n">
        <v>179.5</v>
      </c>
      <c r="AV38" s="487" t="n">
        <v>179.5</v>
      </c>
      <c r="AW38" s="487" t="n">
        <v>219.8749999999999</v>
      </c>
      <c r="AX38" s="487" t="n">
        <v>234.625</v>
      </c>
      <c r="AY38" s="487" t="n">
        <v>234.1249999999999</v>
      </c>
    </row>
    <row r="39">
      <c r="A39" s="474" t="n"/>
      <c r="B39" s="474" t="n"/>
      <c r="C39" s="476" t="inlineStr">
        <is>
          <t>13АВ-РД-АР1.1-К6</t>
        </is>
      </c>
      <c r="D39" s="476" t="inlineStr">
        <is>
          <t>без даты</t>
        </is>
      </c>
      <c r="E39" s="476" t="inlineStr">
        <is>
          <t>Кладка</t>
        </is>
      </c>
      <c r="F39" s="476" t="inlineStr">
        <is>
          <t>БАЗА</t>
        </is>
      </c>
      <c r="G39" s="476">
        <f>G38</f>
        <v/>
      </c>
      <c r="H39" s="476" t="inlineStr">
        <is>
          <t>Корпус 6</t>
        </is>
      </c>
      <c r="I39" s="476" t="n"/>
      <c r="J39" s="476">
        <f>M39</f>
        <v/>
      </c>
      <c r="K39" s="476">
        <f>IF(AND(F39="БАЗА",J39=M39),O39,IF(F39&lt;&gt;"БАЗА","0",IF(J39&lt;&gt;M39,"Пересчет")))</f>
        <v/>
      </c>
      <c r="L39" s="478" t="inlineStr">
        <is>
          <t>Примыкания Перегородкаиз силикатных полнотелых
пазогребневых плит, D1950 - 80мм</t>
        </is>
      </c>
      <c r="M39" s="476" t="inlineStr">
        <is>
          <t>м.п</t>
        </is>
      </c>
      <c r="N39" s="476" t="n"/>
      <c r="O39" s="476">
        <f>SUM(X39:AY39)</f>
        <v/>
      </c>
      <c r="P39" s="476" t="n">
        <v>0</v>
      </c>
      <c r="Q39" s="476" t="n">
        <v>0</v>
      </c>
      <c r="R39" s="476">
        <f>O39*W39</f>
        <v/>
      </c>
      <c r="S39" s="476" t="n"/>
      <c r="T39" s="476" t="n"/>
      <c r="U39" s="476" t="n"/>
      <c r="V39" s="476" t="inlineStr">
        <is>
          <t>СВ-2.2</t>
        </is>
      </c>
      <c r="W39" s="476" t="n">
        <v>1</v>
      </c>
      <c r="X39" s="476" t="n"/>
      <c r="Y39" s="476" t="n">
        <v>64.580113</v>
      </c>
      <c r="Z39" s="476" t="n">
        <v>64.830113</v>
      </c>
      <c r="AA39" s="476" t="n">
        <v>64.580113</v>
      </c>
      <c r="AB39" s="476" t="n">
        <v>64.704649</v>
      </c>
      <c r="AC39" s="476">
        <f>54.945113+9.05</f>
        <v/>
      </c>
      <c r="AD39" s="476" t="n">
        <v>64.704649</v>
      </c>
      <c r="AE39" s="476" t="n">
        <v>64.704649</v>
      </c>
      <c r="AF39" s="476" t="n">
        <v>63.900113</v>
      </c>
      <c r="AG39" s="476" t="n">
        <v>64.024649</v>
      </c>
      <c r="AH39" s="476" t="n">
        <v>56.850113</v>
      </c>
      <c r="AI39" s="476">
        <f>56.850113+11.65</f>
        <v/>
      </c>
      <c r="AJ39" s="476">
        <f>45.865+11.065</f>
        <v/>
      </c>
      <c r="AK39" s="476">
        <f>45.865+11.065</f>
        <v/>
      </c>
      <c r="AL39" s="476" t="n">
        <v>45.865</v>
      </c>
      <c r="AM39" s="476" t="n">
        <v>57.555113</v>
      </c>
      <c r="AN39" s="476" t="n">
        <v>57.555113</v>
      </c>
      <c r="AO39" s="476" t="n">
        <v>57.562103</v>
      </c>
      <c r="AP39" s="476" t="n">
        <v>57.562103</v>
      </c>
      <c r="AQ39" s="476" t="n">
        <v>69.805125</v>
      </c>
      <c r="AR39" s="476" t="n">
        <v>68.660113</v>
      </c>
      <c r="AS39" s="476">
        <f>68.620118+2.96</f>
        <v/>
      </c>
      <c r="AT39" s="476">
        <f>68.620118+2.96</f>
        <v/>
      </c>
      <c r="AU39" s="476">
        <f>68.620118+2.96</f>
        <v/>
      </c>
      <c r="AV39" s="476">
        <f>68.620118+2.96</f>
        <v/>
      </c>
      <c r="AW39" s="476">
        <f>77.459989+10.61</f>
        <v/>
      </c>
      <c r="AX39" s="476">
        <f>76.94+10.61</f>
        <v/>
      </c>
      <c r="AY39" s="476" t="n">
        <v>87.339989</v>
      </c>
    </row>
    <row r="40">
      <c r="A40" s="490" t="n"/>
      <c r="B40" s="490" t="n"/>
      <c r="C40" s="492" t="inlineStr">
        <is>
          <t>13АВ-РД-АР1.1-К6</t>
        </is>
      </c>
      <c r="D40" s="492" t="inlineStr">
        <is>
          <t>без даты</t>
        </is>
      </c>
      <c r="E40" s="492" t="inlineStr">
        <is>
          <t>Кладка</t>
        </is>
      </c>
      <c r="F40" s="492" t="inlineStr">
        <is>
          <t>БАЗА</t>
        </is>
      </c>
      <c r="G40" s="492" t="inlineStr">
        <is>
          <t>Перемычки D1950 80 мм</t>
        </is>
      </c>
      <c r="H40" s="492" t="inlineStr">
        <is>
          <t>Корпус 6</t>
        </is>
      </c>
      <c r="I40" s="492" t="n"/>
      <c r="J40" s="492">
        <f>M40</f>
        <v/>
      </c>
      <c r="K40" s="492">
        <f>IF(AND(F40="БАЗА",J40=M40),O40,IF(F40&lt;&gt;"БАЗА","0",IF(J40&lt;&gt;M40,"Пересчет")))</f>
        <v/>
      </c>
      <c r="L40" s="493" t="inlineStr">
        <is>
          <t>Уголок 75х6</t>
        </is>
      </c>
      <c r="M40" s="492" t="inlineStr">
        <is>
          <t>м.п</t>
        </is>
      </c>
      <c r="N40" s="492" t="n"/>
      <c r="O40" s="492">
        <f>SUM(X40:AY40)</f>
        <v/>
      </c>
      <c r="P40" s="492" t="n">
        <v>0</v>
      </c>
      <c r="Q40" s="492" t="n">
        <v>0</v>
      </c>
      <c r="R40" s="492">
        <f>O40*W40</f>
        <v/>
      </c>
      <c r="S40" s="492" t="n"/>
      <c r="T40" s="492" t="n"/>
      <c r="U40" s="492" t="n"/>
      <c r="V40" s="492">
        <f>V39</f>
        <v/>
      </c>
      <c r="W40" s="492" t="n">
        <v>1</v>
      </c>
      <c r="X40" s="492" t="n"/>
      <c r="Y40" s="492" t="n">
        <v>18.4</v>
      </c>
      <c r="Z40" s="492" t="n">
        <v>18.4</v>
      </c>
      <c r="AA40" s="492" t="n">
        <v>18.4</v>
      </c>
      <c r="AB40" s="492" t="n">
        <v>18.4</v>
      </c>
      <c r="AC40" s="492">
        <f>16+1.2</f>
        <v/>
      </c>
      <c r="AD40" s="492" t="n">
        <v>18.4</v>
      </c>
      <c r="AE40" s="492" t="n">
        <v>18.4</v>
      </c>
      <c r="AF40" s="492" t="n">
        <v>18.5</v>
      </c>
      <c r="AG40" s="492" t="n">
        <v>18.5</v>
      </c>
      <c r="AH40" s="492" t="n">
        <v>16.1</v>
      </c>
      <c r="AI40" s="492" t="n">
        <v>16.1</v>
      </c>
      <c r="AJ40" s="492">
        <f>14.8+1.2</f>
        <v/>
      </c>
      <c r="AK40" s="492">
        <f>14.8+1.2</f>
        <v/>
      </c>
      <c r="AL40" s="492">
        <f>14.8+1.2</f>
        <v/>
      </c>
      <c r="AM40" s="492" t="n">
        <v>15</v>
      </c>
      <c r="AN40" s="492" t="n">
        <v>15</v>
      </c>
      <c r="AO40" s="492" t="n">
        <v>15</v>
      </c>
      <c r="AP40" s="492" t="n">
        <v>17.5</v>
      </c>
      <c r="AQ40" s="492" t="n">
        <v>16.5</v>
      </c>
      <c r="AR40" s="492" t="n">
        <v>18.7</v>
      </c>
      <c r="AS40" s="492" t="n">
        <v>19.9</v>
      </c>
      <c r="AT40" s="492" t="n">
        <v>19.9</v>
      </c>
      <c r="AU40" s="492" t="n">
        <v>19.9</v>
      </c>
      <c r="AV40" s="492" t="n">
        <v>19.9</v>
      </c>
      <c r="AW40" s="492" t="n">
        <v>22.4</v>
      </c>
      <c r="AX40" s="492" t="n">
        <v>22.6</v>
      </c>
      <c r="AY40" s="492">
        <f>27.6+1.2</f>
        <v/>
      </c>
    </row>
    <row r="41">
      <c r="A41" s="490" t="n"/>
      <c r="B41" s="490" t="n"/>
      <c r="C41" s="492" t="inlineStr">
        <is>
          <t>13АВ-РД-АР1.1-К6</t>
        </is>
      </c>
      <c r="D41" s="492" t="inlineStr">
        <is>
          <t>без даты</t>
        </is>
      </c>
      <c r="E41" s="492" t="inlineStr">
        <is>
          <t>Кладка</t>
        </is>
      </c>
      <c r="F41" s="492" t="inlineStr">
        <is>
          <t>БАЗА</t>
        </is>
      </c>
      <c r="G41" s="492" t="inlineStr">
        <is>
          <t>Перемычки D1950 80 мм</t>
        </is>
      </c>
      <c r="H41" s="492" t="inlineStr">
        <is>
          <t>Корпус 6</t>
        </is>
      </c>
      <c r="I41" s="492" t="n"/>
      <c r="J41" s="492" t="inlineStr">
        <is>
          <t>м.п</t>
        </is>
      </c>
      <c r="K41" s="492">
        <f>IF(AND(F41="БАЗА",J41=M41),O41,IF(F41&lt;&gt;"БАЗА","0",IF(J41&lt;&gt;M41,"Пересчет")))</f>
        <v/>
      </c>
      <c r="L41" s="493" t="inlineStr">
        <is>
          <t>Уголок 75х6, L=80</t>
        </is>
      </c>
      <c r="M41" s="492" t="inlineStr">
        <is>
          <t>м.п</t>
        </is>
      </c>
      <c r="N41" s="492" t="n"/>
      <c r="O41" s="492">
        <f>SUM(X41:AY41)</f>
        <v/>
      </c>
      <c r="P41" s="492" t="n">
        <v>0</v>
      </c>
      <c r="Q41" s="492" t="n">
        <v>0</v>
      </c>
      <c r="R41" s="492">
        <f>O41*W41</f>
        <v/>
      </c>
      <c r="S41" s="492" t="n"/>
      <c r="T41" s="492" t="n"/>
      <c r="U41" s="492" t="n"/>
      <c r="V41" s="492">
        <f>V40</f>
        <v/>
      </c>
      <c r="W41" s="492" t="n">
        <v>1</v>
      </c>
      <c r="X41" s="492" t="n"/>
      <c r="Y41" s="492" t="n">
        <v>0.5600000000000001</v>
      </c>
      <c r="Z41" s="492" t="n">
        <v>0.5600000000000001</v>
      </c>
      <c r="AA41" s="492" t="n">
        <v>0.5600000000000001</v>
      </c>
      <c r="AB41" s="492" t="n">
        <v>0.5600000000000001</v>
      </c>
      <c r="AC41" s="492" t="n">
        <v>0.5600000000000001</v>
      </c>
      <c r="AD41" s="492" t="n">
        <v>0.5600000000000001</v>
      </c>
      <c r="AE41" s="492" t="n">
        <v>0.5600000000000001</v>
      </c>
      <c r="AF41" s="492" t="n">
        <v>0.48</v>
      </c>
      <c r="AG41" s="492" t="n">
        <v>0.48</v>
      </c>
      <c r="AH41" s="492" t="n">
        <v>0.48</v>
      </c>
      <c r="AI41" s="492" t="n">
        <v>0.48</v>
      </c>
      <c r="AJ41" s="492" t="n">
        <v>0.48</v>
      </c>
      <c r="AK41" s="492" t="n">
        <v>0.48</v>
      </c>
      <c r="AL41" s="492" t="n">
        <v>0.48</v>
      </c>
      <c r="AM41" s="492" t="n">
        <v>0.4</v>
      </c>
      <c r="AN41" s="492" t="n">
        <v>0.4</v>
      </c>
      <c r="AO41" s="492" t="n">
        <v>0.4</v>
      </c>
      <c r="AP41" s="492" t="n">
        <v>0.4</v>
      </c>
      <c r="AQ41" s="492" t="n">
        <v>0.24</v>
      </c>
      <c r="AR41" s="492" t="n">
        <v>0.4</v>
      </c>
      <c r="AS41" s="492" t="n">
        <v>0.4</v>
      </c>
      <c r="AT41" s="492" t="n">
        <v>0.4</v>
      </c>
      <c r="AU41" s="492" t="n">
        <v>0.4</v>
      </c>
      <c r="AV41" s="492" t="n">
        <v>0.4</v>
      </c>
      <c r="AW41" s="492" t="n">
        <v>0.5600000000000001</v>
      </c>
      <c r="AX41" s="492" t="n">
        <v>0.4</v>
      </c>
      <c r="AY41" s="492" t="n">
        <v>0.24</v>
      </c>
    </row>
    <row r="42">
      <c r="A42" s="466" t="n"/>
      <c r="B42" s="466" t="n"/>
      <c r="C42" s="466" t="n"/>
      <c r="D42" s="482" t="n"/>
      <c r="E42" s="466" t="n"/>
      <c r="F42" s="466" t="n"/>
      <c r="G42" s="466" t="n"/>
      <c r="H42" s="466" t="n"/>
      <c r="I42" s="466" t="n"/>
      <c r="J42" s="466" t="n"/>
      <c r="K42" s="466" t="n"/>
      <c r="L42" s="494" t="inlineStr">
        <is>
          <t xml:space="preserve">Анкер-шпилька </t>
        </is>
      </c>
      <c r="M42" s="466" t="n"/>
      <c r="N42" s="483" t="n"/>
      <c r="O42" s="483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84" t="n"/>
      <c r="Z42" s="484" t="n"/>
      <c r="AA42" s="484" t="n"/>
      <c r="AB42" s="484" t="n"/>
      <c r="AC42" s="484" t="n"/>
      <c r="AD42" s="484" t="n"/>
      <c r="AE42" s="484" t="n"/>
      <c r="AF42" s="484" t="n"/>
      <c r="AG42" s="484" t="n"/>
      <c r="AH42" s="484" t="n"/>
      <c r="AI42" s="484" t="n"/>
      <c r="AJ42" s="484" t="n"/>
      <c r="AK42" s="484" t="n"/>
      <c r="AL42" s="484" t="n"/>
      <c r="AM42" s="484" t="n"/>
      <c r="AN42" s="484" t="n"/>
      <c r="AO42" s="484" t="n"/>
      <c r="AP42" s="484" t="n"/>
      <c r="AQ42" s="484" t="n"/>
      <c r="AR42" s="484" t="n"/>
      <c r="AS42" s="484" t="n"/>
      <c r="AT42" s="484" t="n"/>
      <c r="AU42" s="484" t="n"/>
      <c r="AV42" s="484" t="n"/>
      <c r="AW42" s="484" t="n"/>
      <c r="AX42" s="484" t="n"/>
      <c r="AY42" s="484" t="n"/>
    </row>
    <row r="43">
      <c r="A43" s="490" t="n"/>
      <c r="B43" s="490" t="n"/>
      <c r="C43" s="492" t="inlineStr">
        <is>
          <t>13АВ-РД-АР1.1-К6</t>
        </is>
      </c>
      <c r="D43" s="492" t="inlineStr">
        <is>
          <t>без даты</t>
        </is>
      </c>
      <c r="E43" s="492" t="inlineStr">
        <is>
          <t>Кладка</t>
        </is>
      </c>
      <c r="F43" s="492" t="inlineStr">
        <is>
          <t>БАЗА</t>
        </is>
      </c>
      <c r="G43" s="492" t="inlineStr">
        <is>
          <t>Анкер-шпилька</t>
        </is>
      </c>
      <c r="H43" s="492" t="inlineStr">
        <is>
          <t>Корпус 6</t>
        </is>
      </c>
      <c r="I43" s="492" t="n"/>
      <c r="J43" s="492" t="inlineStr">
        <is>
          <t>м.п</t>
        </is>
      </c>
      <c r="K43" s="492">
        <f>IF(AND(F43="БАЗА",J43=M43),O43,IF(F43&lt;&gt;"БАЗА","0",IF(J43&lt;&gt;M43,"Пересчет")))</f>
        <v/>
      </c>
      <c r="L43" s="493" t="inlineStr">
        <is>
          <t>Анкер-шпилька Hilti HST M 10х100</t>
        </is>
      </c>
      <c r="M43" s="492" t="inlineStr">
        <is>
          <t>шт.</t>
        </is>
      </c>
      <c r="N43" s="492" t="n"/>
      <c r="O43" s="492">
        <f>SUM(X43:AY43)</f>
        <v/>
      </c>
      <c r="P43" s="492" t="n">
        <v>0</v>
      </c>
      <c r="Q43" s="492" t="n">
        <v>0</v>
      </c>
      <c r="R43" s="492">
        <f>O43*W43</f>
        <v/>
      </c>
      <c r="S43" s="492" t="n"/>
      <c r="T43" s="492" t="n"/>
      <c r="U43" s="492" t="n"/>
      <c r="V43" s="492">
        <f>V42</f>
        <v/>
      </c>
      <c r="W43" s="492" t="n">
        <v>1</v>
      </c>
      <c r="X43" s="492" t="n"/>
      <c r="Y43" s="492" t="n">
        <v>7</v>
      </c>
      <c r="Z43" s="492" t="n">
        <v>7</v>
      </c>
      <c r="AA43" s="492" t="n">
        <v>8</v>
      </c>
      <c r="AB43" s="492" t="n">
        <v>7</v>
      </c>
      <c r="AC43" s="492" t="n">
        <v>8</v>
      </c>
      <c r="AD43" s="492" t="n">
        <v>7</v>
      </c>
      <c r="AE43" s="492" t="n">
        <v>7</v>
      </c>
      <c r="AF43" s="492" t="n">
        <v>7</v>
      </c>
      <c r="AG43" s="492" t="n">
        <v>6</v>
      </c>
      <c r="AH43" s="492" t="n">
        <v>7</v>
      </c>
      <c r="AI43" s="492" t="n">
        <v>7</v>
      </c>
      <c r="AJ43" s="492" t="n">
        <v>8</v>
      </c>
      <c r="AK43" s="492" t="n">
        <v>8</v>
      </c>
      <c r="AL43" s="492" t="n">
        <v>8</v>
      </c>
      <c r="AM43" s="492" t="n">
        <v>6</v>
      </c>
      <c r="AN43" s="492" t="n">
        <v>6</v>
      </c>
      <c r="AO43" s="492" t="n">
        <v>6</v>
      </c>
      <c r="AP43" s="492" t="n">
        <v>6</v>
      </c>
      <c r="AQ43" s="492" t="n">
        <v>3</v>
      </c>
      <c r="AR43" s="492" t="n">
        <v>5</v>
      </c>
      <c r="AS43" s="492" t="n">
        <v>5</v>
      </c>
      <c r="AT43" s="492" t="n">
        <v>5</v>
      </c>
      <c r="AU43" s="492" t="n">
        <v>5</v>
      </c>
      <c r="AV43" s="492" t="n">
        <v>5</v>
      </c>
      <c r="AW43" s="492" t="n">
        <v>9</v>
      </c>
      <c r="AX43" s="492" t="n">
        <v>8</v>
      </c>
      <c r="AY43" s="492" t="n">
        <v>8</v>
      </c>
    </row>
  </sheetData>
  <autoFilter ref="$A$3:$AL$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W104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13.35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16.99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inlineStr">
        <is>
          <t>мат.</t>
        </is>
      </c>
      <c r="B14" s="346" t="inlineStr">
        <is>
          <t>13АВ-РД-АР1.1-К3/К4</t>
        </is>
      </c>
      <c r="C14" s="349" t="inlineStr">
        <is>
          <t>21.01.2026)</t>
        </is>
      </c>
      <c r="D14" s="349" t="inlineStr">
        <is>
          <t>Кладка</t>
        </is>
      </c>
      <c r="E14" s="349" t="inlineStr">
        <is>
          <t>БАЗА</t>
        </is>
      </c>
      <c r="F14" s="346" t="inlineStr">
        <is>
          <t>Внутренние стены D600
100мм</t>
        </is>
      </c>
      <c r="G14" s="444" t="inlineStr">
        <is>
          <t>Пристройка К3-К4</t>
        </is>
      </c>
      <c r="H14" s="349" t="n"/>
      <c r="I14" s="349" t="n"/>
      <c r="J14" s="439" t="n"/>
      <c r="K14" s="351" t="inlineStr">
        <is>
          <t>Внутренняя стена из газобетонных
блоков, толщиной 100мм, D600 на
клеевом растворе М100</t>
        </is>
      </c>
      <c r="L14" s="349" t="inlineStr">
        <is>
          <t>м3</t>
        </is>
      </c>
      <c r="M14" s="349" t="n">
        <v>6.04</v>
      </c>
      <c r="N14" s="349">
        <f>SUM(W14)</f>
        <v/>
      </c>
      <c r="O14" s="349" t="n"/>
      <c r="P14" s="349" t="n"/>
      <c r="Q14" s="429">
        <f>N14*V14+P14</f>
        <v/>
      </c>
      <c r="R14" s="349" t="inlineStr">
        <is>
          <t>м3</t>
        </is>
      </c>
      <c r="S14" s="349" t="n"/>
      <c r="T14" s="349" t="n"/>
      <c r="U14" s="349" t="inlineStr">
        <is>
          <t>СВ-1.4
(В РД ошибочно учтен объем К4)</t>
        </is>
      </c>
      <c r="V14" s="349" t="n">
        <v>1</v>
      </c>
      <c r="W14" s="349" t="n">
        <v>2.39</v>
      </c>
    </row>
    <row r="15">
      <c r="A15" s="471" t="n"/>
      <c r="B15" s="471" t="inlineStr">
        <is>
          <t>13АВ-РД-АР1.1-К3/К4</t>
        </is>
      </c>
      <c r="C15" s="67" t="inlineStr">
        <is>
          <t>21.01.2026)</t>
        </is>
      </c>
      <c r="D15" s="67" t="inlineStr">
        <is>
          <t>Кладка</t>
        </is>
      </c>
      <c r="E15" s="67" t="n"/>
      <c r="F15" s="471" t="inlineStr">
        <is>
          <t>Внутренние стены D600
100мм</t>
        </is>
      </c>
      <c r="G15" s="471" t="inlineStr">
        <is>
          <t>Пристройка К3-К4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SUM(W15)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s="67">
        <f>8*4.55</f>
        <v/>
      </c>
    </row>
    <row r="16">
      <c r="A16" s="375" t="n"/>
      <c r="B16" s="375" t="inlineStr">
        <is>
          <t>13АВ-РД-АР1.1-К3/К4</t>
        </is>
      </c>
      <c r="C16" s="67" t="inlineStr">
        <is>
          <t>21.01.2026)</t>
        </is>
      </c>
      <c r="D16" s="358" t="inlineStr">
        <is>
          <t>Кладка</t>
        </is>
      </c>
      <c r="E16" s="360" t="n"/>
      <c r="F16" s="471" t="inlineStr">
        <is>
          <t>Внутренние стены D600
100мм</t>
        </is>
      </c>
      <c r="G16" s="471" t="inlineStr">
        <is>
          <t>Пристройка К3-К4</t>
        </is>
      </c>
      <c r="H16" s="362" t="n"/>
      <c r="I16" s="362" t="n"/>
      <c r="J16" s="362" t="n"/>
      <c r="K16" s="376" t="inlineStr">
        <is>
          <t>Примыкание к плите перекрытия</t>
        </is>
      </c>
      <c r="L16" s="381" t="inlineStr">
        <is>
          <t>м.п.</t>
        </is>
      </c>
      <c r="M16" s="364" t="n">
        <v>0</v>
      </c>
      <c r="N16" s="364">
        <f>SUM(W16)</f>
        <v/>
      </c>
      <c r="O16" s="358" t="n">
        <v>0</v>
      </c>
      <c r="P16" s="358" t="n">
        <v>0</v>
      </c>
      <c r="Q16" s="364">
        <f>N16*V16+P16</f>
        <v/>
      </c>
      <c r="R16" s="358" t="inlineStr">
        <is>
          <t>м.п.</t>
        </is>
      </c>
      <c r="S16" s="360" t="n"/>
      <c r="T16" s="360" t="n"/>
      <c r="U16" s="375" t="inlineStr">
        <is>
          <t xml:space="preserve">Верхнее крепление газобетонных блоков СВ-1.4 к перекрытию </t>
        </is>
      </c>
      <c r="V16" s="364" t="n">
        <v>1</v>
      </c>
      <c r="W16" s="364">
        <f>1.42*3+1.6</f>
        <v/>
      </c>
    </row>
    <row r="17">
      <c r="A17" s="346" t="inlineStr">
        <is>
          <t>мат.</t>
        </is>
      </c>
      <c r="B17" s="346" t="inlineStr">
        <is>
          <t>13АВ-РД-АР1.1-К3/К4</t>
        </is>
      </c>
      <c r="C17" s="349" t="inlineStr">
        <is>
          <t>21.01.2026)</t>
        </is>
      </c>
      <c r="D17" s="349" t="inlineStr">
        <is>
          <t>Кладка</t>
        </is>
      </c>
      <c r="E17" s="349" t="inlineStr">
        <is>
          <t>БАЗА</t>
        </is>
      </c>
      <c r="F17" s="346" t="inlineStr">
        <is>
          <t>Внутренние стены D600
100мм
Трассировка</t>
        </is>
      </c>
      <c r="G17" s="444" t="inlineStr">
        <is>
          <t>Пристройка К3-К4</t>
        </is>
      </c>
      <c r="H17" s="349" t="n"/>
      <c r="I17" s="349" t="n"/>
      <c r="J17" s="439" t="n"/>
      <c r="K17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17" s="349" t="inlineStr">
        <is>
          <t>м3</t>
        </is>
      </c>
      <c r="M17" s="349" t="n">
        <v>5.08</v>
      </c>
      <c r="N17" s="349">
        <f>SUM(W17)</f>
        <v/>
      </c>
      <c r="O17" s="349" t="n"/>
      <c r="P17" s="349" t="n"/>
      <c r="Q17" s="429">
        <f>N17*V17+P17</f>
        <v/>
      </c>
      <c r="R17" s="349" t="inlineStr">
        <is>
          <t>м3</t>
        </is>
      </c>
      <c r="S17" s="349" t="n"/>
      <c r="T17" s="349" t="n"/>
      <c r="U17" s="349" t="inlineStr">
        <is>
          <t>СВ-1.5
(Высота 400 мм)</t>
        </is>
      </c>
      <c r="V17" s="349" t="n">
        <v>1</v>
      </c>
      <c r="W17" s="349" t="n">
        <v>10.26</v>
      </c>
    </row>
    <row r="18">
      <c r="A18" s="471" t="n"/>
      <c r="B18" s="471" t="inlineStr">
        <is>
          <t>13АВ-РД-АР1.1-К3/К4</t>
        </is>
      </c>
      <c r="C18" s="67" t="inlineStr">
        <is>
          <t>21.01.2026)</t>
        </is>
      </c>
      <c r="D18" s="67" t="inlineStr">
        <is>
          <t>Кладка</t>
        </is>
      </c>
      <c r="E18" s="67" t="n"/>
      <c r="F18" s="471" t="inlineStr">
        <is>
          <t>Внутренние стены D600
100мм
Трассировка</t>
        </is>
      </c>
      <c r="G18" s="471" t="inlineStr">
        <is>
          <t>Пристройка К3-К4</t>
        </is>
      </c>
      <c r="H18" s="67" t="n"/>
      <c r="I18" s="67" t="n"/>
      <c r="J18" s="419" t="n"/>
      <c r="K18" s="563" t="inlineStr">
        <is>
          <t>Вертикалное примыкание к ЖБ стенам</t>
        </is>
      </c>
      <c r="L18" s="381" t="inlineStr">
        <is>
          <t>м.п.</t>
        </is>
      </c>
      <c r="M18" s="364" t="n">
        <v>0</v>
      </c>
      <c r="N18" s="364">
        <f>SUM(W18)</f>
        <v/>
      </c>
      <c r="O18" s="358" t="n">
        <v>0</v>
      </c>
      <c r="P18" s="358" t="n">
        <v>0</v>
      </c>
      <c r="Q18" s="364">
        <f>N18*V18+P18</f>
        <v/>
      </c>
      <c r="R18" s="358" t="inlineStr">
        <is>
          <t>м.п.</t>
        </is>
      </c>
      <c r="S18" s="67" t="n"/>
      <c r="T18" s="67" t="n"/>
      <c r="U18" s="563" t="inlineStr">
        <is>
          <t>Вертикалное примыкание к ЖБ стенам</t>
        </is>
      </c>
      <c r="V18" s="364" t="n">
        <v>1</v>
      </c>
      <c r="W18" s="364">
        <f>15*4.55</f>
        <v/>
      </c>
    </row>
    <row r="19">
      <c r="A19" s="375" t="n"/>
      <c r="B19" s="375" t="inlineStr">
        <is>
          <t>13АВ-РД-АР1.1-К3/К4</t>
        </is>
      </c>
      <c r="C19" s="67" t="inlineStr">
        <is>
          <t>21.01.2026)</t>
        </is>
      </c>
      <c r="D19" s="358" t="inlineStr">
        <is>
          <t>Кладка</t>
        </is>
      </c>
      <c r="E19" s="360" t="n"/>
      <c r="F19" s="471" t="inlineStr">
        <is>
          <t>Внутренние стены D600
100мм
Трассировка</t>
        </is>
      </c>
      <c r="G19" s="471" t="inlineStr">
        <is>
          <t>Пристройка К3-К4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SUM(W19)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19" s="364" t="n">
        <v>1</v>
      </c>
      <c r="W19" s="364" t="n">
        <v>0</v>
      </c>
    </row>
    <row r="20">
      <c r="A20" s="152" t="n"/>
      <c r="B20" s="152" t="n"/>
      <c r="C20" s="452" t="n"/>
      <c r="D20" s="452" t="n"/>
      <c r="E20" s="452" t="n"/>
      <c r="F20" s="152" t="n"/>
      <c r="G20" s="152" t="n"/>
      <c r="H20" s="452" t="n"/>
      <c r="I20" s="452" t="n"/>
      <c r="J20" s="452" t="n"/>
      <c r="K20" s="152" t="n"/>
      <c r="L20" s="452" t="n"/>
      <c r="M20" s="452" t="n"/>
      <c r="N20" s="452" t="n"/>
      <c r="O20" s="452" t="n"/>
      <c r="P20" s="452" t="n"/>
      <c r="Q20" s="452" t="n"/>
      <c r="R20" s="452" t="n"/>
      <c r="S20" s="452" t="n"/>
      <c r="T20" s="452" t="n"/>
      <c r="U20" s="452" t="n"/>
      <c r="V20" s="452" t="n"/>
      <c r="W20" s="452" t="n"/>
    </row>
    <row r="21">
      <c r="A21" s="152" t="n"/>
      <c r="B21" s="152" t="n"/>
      <c r="C21" s="452" t="n"/>
      <c r="D21" s="452" t="n"/>
      <c r="E21" s="452" t="n"/>
      <c r="F21" s="152" t="n"/>
      <c r="G21" s="152" t="n"/>
      <c r="H21" s="452" t="n"/>
      <c r="I21" s="452" t="n"/>
      <c r="J21" s="452" t="n"/>
      <c r="K21" s="152" t="n"/>
      <c r="L21" s="452" t="n"/>
      <c r="M21" s="452" t="n"/>
      <c r="N21" s="452" t="n"/>
      <c r="O21" s="452" t="n"/>
      <c r="P21" s="452" t="n"/>
      <c r="Q21" s="452" t="n"/>
      <c r="R21" s="452" t="n"/>
      <c r="S21" s="452" t="n"/>
      <c r="T21" s="452" t="n"/>
      <c r="U21" s="452" t="n"/>
      <c r="V21" s="452" t="n"/>
      <c r="W21" s="452" t="n"/>
    </row>
    <row r="22">
      <c r="A22" s="152" t="n"/>
      <c r="B22" s="152" t="n"/>
      <c r="C22" s="452" t="n"/>
      <c r="D22" s="452" t="n"/>
      <c r="E22" s="452" t="n"/>
      <c r="F22" s="152" t="n"/>
      <c r="G22" s="152" t="n"/>
      <c r="H22" s="452" t="n"/>
      <c r="I22" s="452" t="n"/>
      <c r="J22" s="452" t="n"/>
      <c r="K22" s="152" t="n"/>
      <c r="L22" s="452" t="n"/>
      <c r="M22" s="452" t="n"/>
      <c r="N22" s="452" t="n"/>
      <c r="O22" s="452" t="n"/>
      <c r="P22" s="452" t="n"/>
      <c r="Q22" s="452" t="n"/>
      <c r="R22" s="452" t="n"/>
      <c r="S22" s="452" t="n"/>
      <c r="T22" s="452" t="n"/>
      <c r="U22" s="452" t="n"/>
      <c r="V22" s="452" t="n"/>
      <c r="W22" s="452" t="n"/>
    </row>
    <row r="23">
      <c r="A23" s="152" t="n"/>
      <c r="B23" s="152" t="n"/>
      <c r="C23" s="452" t="n"/>
      <c r="D23" s="452" t="n"/>
      <c r="E23" s="452" t="n"/>
      <c r="F23" s="152" t="n"/>
      <c r="G23" s="152" t="n"/>
      <c r="H23" s="452" t="n"/>
      <c r="I23" s="452" t="n"/>
      <c r="J23" s="452" t="n"/>
      <c r="K23" s="152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</row>
    <row r="24">
      <c r="A24" s="152" t="n"/>
      <c r="B24" s="152" t="n"/>
      <c r="C24" s="452" t="n"/>
      <c r="D24" s="452" t="n"/>
      <c r="E24" s="452" t="n"/>
      <c r="F24" s="152" t="n"/>
      <c r="G24" s="152" t="n"/>
      <c r="H24" s="452" t="n"/>
      <c r="I24" s="452" t="n"/>
      <c r="J24" s="452" t="n"/>
      <c r="K24" s="152" t="n"/>
      <c r="L24" s="452" t="n"/>
      <c r="M24" s="452" t="n"/>
      <c r="N24" s="452" t="n"/>
      <c r="O24" s="452" t="n"/>
      <c r="P24" s="452" t="n"/>
      <c r="Q24" s="452" t="n"/>
      <c r="R24" s="452" t="n"/>
      <c r="S24" s="452" t="n"/>
      <c r="T24" s="452" t="n"/>
      <c r="U24" s="452" t="n"/>
      <c r="V24" s="452" t="n"/>
      <c r="W24" s="452" t="n"/>
    </row>
    <row r="25">
      <c r="A25" s="152" t="n"/>
      <c r="B25" s="152" t="n"/>
      <c r="C25" s="452" t="n"/>
      <c r="D25" s="452" t="n"/>
      <c r="E25" s="452" t="n"/>
      <c r="F25" s="152" t="n"/>
      <c r="G25" s="152" t="n"/>
      <c r="H25" s="452" t="n"/>
      <c r="I25" s="452" t="n"/>
      <c r="J25" s="452" t="n"/>
      <c r="K25" s="152" t="n"/>
      <c r="L25" s="452" t="n"/>
      <c r="M25" s="452" t="n"/>
      <c r="N25" s="452" t="n"/>
      <c r="O25" s="452" t="n"/>
      <c r="P25" s="452" t="n"/>
      <c r="Q25" s="452" t="n"/>
      <c r="R25" s="452" t="n"/>
      <c r="S25" s="452" t="n"/>
      <c r="T25" s="452" t="n"/>
      <c r="U25" s="452" t="n"/>
      <c r="V25" s="452" t="n"/>
      <c r="W25" s="452" t="n"/>
    </row>
    <row r="26">
      <c r="A26" s="152" t="n"/>
      <c r="B26" s="152" t="n"/>
      <c r="C26" s="452" t="n"/>
      <c r="D26" s="452" t="n"/>
      <c r="E26" s="452" t="n"/>
      <c r="F26" s="152" t="n"/>
      <c r="G26" s="152" t="n"/>
      <c r="H26" s="452" t="n"/>
      <c r="I26" s="452" t="n"/>
      <c r="J26" s="452" t="n"/>
      <c r="K26" s="152" t="n"/>
      <c r="L26" s="452" t="n"/>
      <c r="M26" s="452" t="n"/>
      <c r="N26" s="452" t="n"/>
      <c r="O26" s="452" t="n"/>
      <c r="P26" s="452" t="n"/>
      <c r="Q26" s="452" t="n"/>
      <c r="R26" s="452" t="n"/>
      <c r="S26" s="452" t="n"/>
      <c r="T26" s="452" t="n"/>
      <c r="U26" s="452" t="n"/>
      <c r="V26" s="452" t="n"/>
      <c r="W26" s="452" t="n"/>
    </row>
    <row r="27">
      <c r="A27" s="152" t="n"/>
      <c r="B27" s="152" t="n"/>
      <c r="C27" s="452" t="n"/>
      <c r="D27" s="452" t="n"/>
      <c r="E27" s="452" t="n"/>
      <c r="F27" s="152" t="n"/>
      <c r="G27" s="152" t="n"/>
      <c r="H27" s="452" t="n"/>
      <c r="I27" s="452" t="n"/>
      <c r="J27" s="452" t="n"/>
      <c r="K27" s="152" t="n"/>
      <c r="L27" s="452" t="n"/>
      <c r="M27" s="452" t="n"/>
      <c r="N27" s="452" t="n"/>
      <c r="O27" s="452" t="n"/>
      <c r="P27" s="452" t="n"/>
      <c r="Q27" s="452" t="n"/>
      <c r="R27" s="452" t="n"/>
      <c r="S27" s="452" t="n"/>
      <c r="T27" s="452" t="n"/>
      <c r="U27" s="452" t="n"/>
      <c r="V27" s="452" t="n"/>
      <c r="W27" s="452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X518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13АВ-РД-АР1.1-К4/К5</t>
        </is>
      </c>
      <c r="C4" s="379" t="n">
        <v>46043</v>
      </c>
      <c r="D4" s="349" t="inlineStr">
        <is>
          <t>Кладка</t>
        </is>
      </c>
      <c r="E4" s="346" t="inlineStr">
        <is>
          <t>БАЗА</t>
        </is>
      </c>
      <c r="F4" s="346" t="inlineStr">
        <is>
          <t>Зашивка 75 мм</t>
        </is>
      </c>
      <c r="G4" s="444" t="inlineStr">
        <is>
          <t>Пристройка К4-К5</t>
        </is>
      </c>
      <c r="H4" s="349" t="n"/>
      <c r="I4" s="349" t="n"/>
      <c r="J4" s="439" t="n"/>
      <c r="K4" s="351" t="inlineStr">
        <is>
          <t>Зашивка по типу С625 из 1 слоя ГВЛ (12,5 мм) и стального
каркаса с шириной профиля 75мм без заполнения
минераловатными плитами</t>
        </is>
      </c>
      <c r="L4" s="349" t="inlineStr">
        <is>
          <t>м3</t>
        </is>
      </c>
      <c r="M4" s="349" t="n">
        <v>5</v>
      </c>
      <c r="N4" s="349">
        <f>V4*W4</f>
        <v/>
      </c>
      <c r="O4" s="349" t="n"/>
      <c r="P4" s="349" t="n"/>
      <c r="Q4" s="429">
        <f>W4*V4</f>
        <v/>
      </c>
      <c r="R4" s="349" t="inlineStr">
        <is>
          <t>м3</t>
        </is>
      </c>
      <c r="S4" s="349" t="n"/>
      <c r="T4" s="349" t="n"/>
      <c r="U4" s="349" t="inlineStr">
        <is>
          <t>ГВ-1.1</t>
        </is>
      </c>
      <c r="V4" s="349" t="n">
        <v>4.35</v>
      </c>
      <c r="W4" s="349" t="n">
        <v>1.15</v>
      </c>
    </row>
    <row r="5">
      <c r="A5" s="471" t="n"/>
      <c r="B5" s="471" t="inlineStr">
        <is>
          <t>13АВ-РД-АР1.1-К4/К5</t>
        </is>
      </c>
      <c r="C5" s="380" t="n">
        <v>46043</v>
      </c>
      <c r="D5" s="67" t="inlineStr">
        <is>
          <t>Кладка</t>
        </is>
      </c>
      <c r="E5" s="471" t="n"/>
      <c r="F5" s="471" t="inlineStr">
        <is>
          <t>Зашивка 75 мм</t>
        </is>
      </c>
      <c r="G5" s="471" t="inlineStr">
        <is>
          <t>Пристройка К4-К5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413">
        <f>V5*W5</f>
        <v/>
      </c>
      <c r="O5" s="358" t="n"/>
      <c r="P5" s="358" t="n"/>
      <c r="Q5" s="413">
        <f>W5*V5</f>
        <v/>
      </c>
      <c r="R5" s="381" t="inlineStr">
        <is>
          <t>м.п.</t>
        </is>
      </c>
      <c r="S5" s="67" t="n"/>
      <c r="T5" s="67" t="n"/>
      <c r="U5" s="563" t="n"/>
      <c r="V5" s="67" t="n">
        <v>1</v>
      </c>
      <c r="W5" s="67" t="n">
        <v>0</v>
      </c>
    </row>
    <row r="6">
      <c r="A6" s="375" t="n"/>
      <c r="B6" s="471" t="inlineStr">
        <is>
          <t>13АВ-РД-АР1.1-К4/К5</t>
        </is>
      </c>
      <c r="C6" s="380" t="n">
        <v>46043</v>
      </c>
      <c r="D6" s="358" t="inlineStr">
        <is>
          <t>Кладка</t>
        </is>
      </c>
      <c r="E6" s="378" t="n"/>
      <c r="F6" s="471" t="inlineStr">
        <is>
          <t>Зашивка 75 мм</t>
        </is>
      </c>
      <c r="G6" s="471" t="inlineStr">
        <is>
          <t>Пристройка К4-К5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413">
        <f>V6*W6</f>
        <v/>
      </c>
      <c r="O6" s="358" t="n"/>
      <c r="P6" s="358" t="n"/>
      <c r="Q6" s="413">
        <f>W6*V6</f>
        <v/>
      </c>
      <c r="R6" s="381" t="inlineStr">
        <is>
          <t>м.п.</t>
        </is>
      </c>
      <c r="S6" s="360" t="n"/>
      <c r="T6" s="360" t="n"/>
      <c r="U6" s="375" t="n"/>
      <c r="V6" s="364" t="n">
        <v>1</v>
      </c>
      <c r="W6" s="364" t="n">
        <v>1.1</v>
      </c>
    </row>
    <row r="7">
      <c r="A7" s="346" t="inlineStr">
        <is>
          <t>мат.</t>
        </is>
      </c>
      <c r="B7" s="346" t="inlineStr">
        <is>
          <t>13АВ-РД-АР1.1-К4/К5</t>
        </is>
      </c>
      <c r="C7" s="379" t="n">
        <v>46043</v>
      </c>
      <c r="D7" s="349" t="inlineStr">
        <is>
          <t>Кладка</t>
        </is>
      </c>
      <c r="E7" s="346" t="inlineStr">
        <is>
          <t>БАЗА</t>
        </is>
      </c>
      <c r="F7" s="346" t="inlineStr">
        <is>
          <t>Внутренняя стена газоблок 200 мм</t>
        </is>
      </c>
      <c r="G7" s="444" t="inlineStr">
        <is>
          <t>Пристройка К4-К5</t>
        </is>
      </c>
      <c r="H7" s="349" t="n"/>
      <c r="I7" s="349" t="n"/>
      <c r="J7" s="439" t="n"/>
      <c r="K7" s="351" t="inlineStr">
        <is>
          <t>Внутренняя стена из газобетонных блоков, толщиной 200
мм, D600</t>
        </is>
      </c>
      <c r="L7" s="349" t="inlineStr">
        <is>
          <t>м3</t>
        </is>
      </c>
      <c r="M7" s="349" t="n">
        <v>3.14</v>
      </c>
      <c r="N7" s="349">
        <f>V7*W7</f>
        <v/>
      </c>
      <c r="O7" s="349" t="n"/>
      <c r="P7" s="349" t="n"/>
      <c r="Q7" s="429">
        <f>W7*V7</f>
        <v/>
      </c>
      <c r="R7" s="349" t="inlineStr">
        <is>
          <t>м3</t>
        </is>
      </c>
      <c r="S7" s="349" t="n"/>
      <c r="T7" s="349" t="n"/>
      <c r="U7" s="349" t="inlineStr">
        <is>
          <t>СВ-1.2
В РД не учтена часть пристройки</t>
        </is>
      </c>
      <c r="V7" s="349" t="n">
        <v>1</v>
      </c>
      <c r="W7" s="349">
        <f>1.27+1.836</f>
        <v/>
      </c>
    </row>
    <row r="8">
      <c r="A8" s="471" t="n"/>
      <c r="B8" s="471" t="inlineStr">
        <is>
          <t>13АВ-РД-АР1.1-К4/К5</t>
        </is>
      </c>
      <c r="C8" s="380" t="n">
        <v>46043</v>
      </c>
      <c r="D8" s="67" t="inlineStr">
        <is>
          <t>Кладка</t>
        </is>
      </c>
      <c r="E8" s="471" t="n"/>
      <c r="F8" s="471" t="inlineStr">
        <is>
          <t>Внутренняя стена газоблок 200 мм</t>
        </is>
      </c>
      <c r="G8" s="471" t="inlineStr">
        <is>
          <t>Пристройка К4-К5</t>
        </is>
      </c>
      <c r="H8" s="67" t="n"/>
      <c r="I8" s="67" t="n"/>
      <c r="J8" s="419" t="n"/>
      <c r="K8" s="563" t="inlineStr">
        <is>
          <t>Вертикалное примыкание к ЖБ стенам</t>
        </is>
      </c>
      <c r="L8" s="381" t="inlineStr">
        <is>
          <t>м.п.</t>
        </is>
      </c>
      <c r="M8" s="364" t="n">
        <v>0</v>
      </c>
      <c r="N8" s="413">
        <f>V8*W8</f>
        <v/>
      </c>
      <c r="O8" s="358" t="n"/>
      <c r="P8" s="358" t="n"/>
      <c r="Q8" s="413">
        <f>W8*V8</f>
        <v/>
      </c>
      <c r="R8" s="381" t="inlineStr">
        <is>
          <t>м.п.</t>
        </is>
      </c>
      <c r="S8" s="67" t="n"/>
      <c r="T8" s="67" t="n"/>
      <c r="U8" s="563" t="n"/>
      <c r="V8" s="364" t="n">
        <v>1</v>
      </c>
      <c r="W8" s="364" t="n">
        <v>3.4</v>
      </c>
    </row>
    <row r="9">
      <c r="A9" s="375" t="n"/>
      <c r="B9" s="471" t="inlineStr">
        <is>
          <t>13АВ-РД-АР1.1-К4/К5</t>
        </is>
      </c>
      <c r="C9" s="380" t="n">
        <v>46043</v>
      </c>
      <c r="D9" s="358" t="inlineStr">
        <is>
          <t>Кладка</t>
        </is>
      </c>
      <c r="E9" s="471" t="n"/>
      <c r="F9" s="471" t="inlineStr">
        <is>
          <t>Внутренняя стена газоблок 200 мм</t>
        </is>
      </c>
      <c r="G9" s="471" t="inlineStr">
        <is>
          <t>Пристройка К4-К5</t>
        </is>
      </c>
      <c r="H9" s="362" t="n"/>
      <c r="I9" s="362" t="n"/>
      <c r="J9" s="362" t="n"/>
      <c r="K9" s="376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413">
        <f>V9*W9</f>
        <v/>
      </c>
      <c r="O9" s="358" t="n"/>
      <c r="P9" s="358" t="n"/>
      <c r="Q9" s="413">
        <f>W9*V9</f>
        <v/>
      </c>
      <c r="R9" s="381" t="inlineStr">
        <is>
          <t>м.п.</t>
        </is>
      </c>
      <c r="S9" s="360" t="n"/>
      <c r="T9" s="360" t="n"/>
      <c r="U9" s="375" t="n"/>
      <c r="V9" s="364" t="n">
        <v>1</v>
      </c>
      <c r="W9" s="364" t="n">
        <v>3.8</v>
      </c>
    </row>
    <row r="10">
      <c r="A10" s="346" t="inlineStr">
        <is>
          <t>мат.</t>
        </is>
      </c>
      <c r="B10" s="346" t="inlineStr">
        <is>
          <t>13АВ-РД-АР1.1-К4/К5</t>
        </is>
      </c>
      <c r="C10" s="379" t="n">
        <v>46043</v>
      </c>
      <c r="D10" s="349" t="inlineStr">
        <is>
          <t>Кладка</t>
        </is>
      </c>
      <c r="E10" s="346" t="inlineStr">
        <is>
          <t>БАЗА</t>
        </is>
      </c>
      <c r="F10" s="346" t="inlineStr">
        <is>
          <t>Внутренняя стена газоблок 100 мм</t>
        </is>
      </c>
      <c r="G10" s="444" t="inlineStr">
        <is>
          <t>Пристройка К4-К5</t>
        </is>
      </c>
      <c r="H10" s="349" t="n"/>
      <c r="I10" s="349" t="n"/>
      <c r="J10" s="439" t="n"/>
      <c r="K10" s="351" t="inlineStr">
        <is>
          <t>Внутренняя стена из газобетонных блоков, толщиной
100мм</t>
        </is>
      </c>
      <c r="L10" s="349" t="inlineStr">
        <is>
          <t>м3</t>
        </is>
      </c>
      <c r="M10" s="349" t="n">
        <v>3.76</v>
      </c>
      <c r="N10" s="349">
        <f>V10*W10</f>
        <v/>
      </c>
      <c r="O10" s="349" t="n"/>
      <c r="P10" s="349" t="n"/>
      <c r="Q10" s="429">
        <f>W10*V10</f>
        <v/>
      </c>
      <c r="R10" s="349" t="inlineStr">
        <is>
          <t>м3</t>
        </is>
      </c>
      <c r="S10" s="349" t="n"/>
      <c r="T10" s="349" t="n"/>
      <c r="U10" s="346" t="inlineStr">
        <is>
          <t>СВ-1.4
Часть объема по спецификации  взята с К4 на осях 4.9-4.12</t>
        </is>
      </c>
      <c r="V10" s="349" t="n">
        <v>1</v>
      </c>
      <c r="W10" s="349">
        <f>0.763+0.538+0.063+0.105</f>
        <v/>
      </c>
    </row>
    <row r="11">
      <c r="A11" s="471" t="n"/>
      <c r="B11" s="471" t="inlineStr">
        <is>
          <t>13АВ-РД-АР1.1-К4/К5</t>
        </is>
      </c>
      <c r="C11" s="380" t="n">
        <v>46043</v>
      </c>
      <c r="D11" s="67" t="inlineStr">
        <is>
          <t>Кладка</t>
        </is>
      </c>
      <c r="E11" s="471" t="n"/>
      <c r="F11" s="471" t="inlineStr">
        <is>
          <t>Внутренняя стена газоблок 100 мм</t>
        </is>
      </c>
      <c r="G11" s="471" t="inlineStr">
        <is>
          <t>Пристройка К4-К5</t>
        </is>
      </c>
      <c r="H11" s="67" t="n"/>
      <c r="I11" s="67" t="n"/>
      <c r="J11" s="419" t="n"/>
      <c r="K11" s="563" t="inlineStr">
        <is>
          <t>Вертикалное примыкание к ЖБ стенам</t>
        </is>
      </c>
      <c r="L11" s="381" t="inlineStr">
        <is>
          <t>м.п.</t>
        </is>
      </c>
      <c r="M11" s="364" t="n">
        <v>0</v>
      </c>
      <c r="N11" s="413">
        <f>V11*W11</f>
        <v/>
      </c>
      <c r="O11" s="358" t="n"/>
      <c r="P11" s="358" t="n"/>
      <c r="Q11" s="413">
        <f>W11*V11</f>
        <v/>
      </c>
      <c r="R11" s="381" t="inlineStr">
        <is>
          <t>м.п.</t>
        </is>
      </c>
      <c r="S11" s="67" t="n"/>
      <c r="T11" s="67" t="n"/>
      <c r="U11" s="563" t="n"/>
      <c r="V11" s="67" t="n">
        <v>3</v>
      </c>
      <c r="W11" s="67" t="n">
        <v>4.35</v>
      </c>
    </row>
    <row r="12">
      <c r="A12" s="375" t="n"/>
      <c r="B12" s="471" t="inlineStr">
        <is>
          <t>13АВ-РД-АР1.1-К4/К5</t>
        </is>
      </c>
      <c r="C12" s="380" t="n">
        <v>46043</v>
      </c>
      <c r="D12" s="358" t="inlineStr">
        <is>
          <t>Кладка</t>
        </is>
      </c>
      <c r="E12" s="378" t="n"/>
      <c r="F12" s="471" t="inlineStr">
        <is>
          <t>Внутренняя стена газоблок 100 мм</t>
        </is>
      </c>
      <c r="G12" s="471" t="inlineStr">
        <is>
          <t>Пристройка К4-К5</t>
        </is>
      </c>
      <c r="H12" s="362" t="n"/>
      <c r="I12" s="362" t="n"/>
      <c r="J12" s="362" t="n"/>
      <c r="K12" s="376" t="inlineStr">
        <is>
          <t>Примыкание к плите перекрытия</t>
        </is>
      </c>
      <c r="L12" s="381" t="inlineStr">
        <is>
          <t>м.п.</t>
        </is>
      </c>
      <c r="M12" s="364" t="n">
        <v>0</v>
      </c>
      <c r="N12" s="413">
        <f>V12*W12</f>
        <v/>
      </c>
      <c r="O12" s="358" t="n"/>
      <c r="P12" s="358" t="n"/>
      <c r="Q12" s="413">
        <f>W12*V12</f>
        <v/>
      </c>
      <c r="R12" s="381" t="inlineStr">
        <is>
          <t>м.п.</t>
        </is>
      </c>
      <c r="S12" s="360" t="n"/>
      <c r="T12" s="360" t="n"/>
      <c r="U12" s="375" t="n"/>
      <c r="V12" s="364" t="n">
        <v>1</v>
      </c>
      <c r="W12" s="364" t="n">
        <v>3</v>
      </c>
    </row>
    <row r="13">
      <c r="A13" s="375" t="inlineStr">
        <is>
          <t>мат.</t>
        </is>
      </c>
      <c r="B13" s="471" t="inlineStr">
        <is>
          <t>13АВ-РД-АР1.1-К4/К5</t>
        </is>
      </c>
      <c r="C13" s="380" t="n">
        <v>46043</v>
      </c>
      <c r="D13" s="67" t="inlineStr">
        <is>
          <t>Кладка</t>
        </is>
      </c>
      <c r="E13" s="358" t="inlineStr">
        <is>
          <t>БАЗА</t>
        </is>
      </c>
      <c r="F13" s="471" t="inlineStr">
        <is>
          <t>Перемычки пристройка</t>
        </is>
      </c>
      <c r="G13" s="471" t="inlineStr">
        <is>
          <t>Пристройка К4-К5</t>
        </is>
      </c>
      <c r="H13" s="362" t="n"/>
      <c r="I13" s="362" t="n"/>
      <c r="J13" s="362" t="n"/>
      <c r="K13" s="376" t="inlineStr">
        <is>
          <t xml:space="preserve">Пластина 50х4 </t>
        </is>
      </c>
      <c r="L13" s="381" t="inlineStr">
        <is>
          <t>т</t>
        </is>
      </c>
      <c r="M13" s="364" t="n">
        <v>0</v>
      </c>
      <c r="N13" s="413">
        <f>V13*W13</f>
        <v/>
      </c>
      <c r="O13" s="358" t="n"/>
      <c r="P13" s="358" t="n"/>
      <c r="Q13" s="413">
        <f>W13*V13</f>
        <v/>
      </c>
      <c r="R13" s="381" t="inlineStr">
        <is>
          <t>т</t>
        </is>
      </c>
      <c r="S13" s="360" t="n"/>
      <c r="T13" s="360" t="n"/>
      <c r="U13" s="375" t="inlineStr">
        <is>
          <t>ПР-1.7 - 1 шт
ПР-1.8 - 1 шт</t>
        </is>
      </c>
      <c r="V13" s="527" t="n">
        <v>0.001</v>
      </c>
      <c r="W13" s="364">
        <f>7.54+8.12</f>
        <v/>
      </c>
    </row>
    <row r="14">
      <c r="A14" s="375" t="inlineStr">
        <is>
          <t>мат.</t>
        </is>
      </c>
      <c r="B14" s="471" t="inlineStr">
        <is>
          <t>13АВ-РД-АР1.1-К4/К5</t>
        </is>
      </c>
      <c r="C14" s="380" t="n">
        <v>46043</v>
      </c>
      <c r="D14" s="358" t="inlineStr">
        <is>
          <t>Кладка</t>
        </is>
      </c>
      <c r="E14" s="358" t="inlineStr">
        <is>
          <t>БАЗА</t>
        </is>
      </c>
      <c r="F14" s="471" t="inlineStr">
        <is>
          <t>Перемычки пристройка</t>
        </is>
      </c>
      <c r="G14" s="471" t="inlineStr">
        <is>
          <t>Пристройка К4-К5</t>
        </is>
      </c>
      <c r="H14" s="362" t="n"/>
      <c r="I14" s="362" t="n"/>
      <c r="J14" s="362" t="n"/>
      <c r="K14" s="376" t="inlineStr">
        <is>
          <t xml:space="preserve">Уголок 75х5 </t>
        </is>
      </c>
      <c r="L14" s="381" t="inlineStr">
        <is>
          <t>т</t>
        </is>
      </c>
      <c r="M14" s="385" t="n">
        <v>0</v>
      </c>
      <c r="N14" s="384">
        <f>V14*W14</f>
        <v/>
      </c>
      <c r="O14" s="385" t="n"/>
      <c r="P14" s="385" t="n"/>
      <c r="Q14" s="384">
        <f>W14*V14</f>
        <v/>
      </c>
      <c r="R14" s="381" t="inlineStr">
        <is>
          <t>т</t>
        </is>
      </c>
      <c r="S14" s="360" t="n"/>
      <c r="T14" s="360" t="n"/>
      <c r="U14" s="375" t="inlineStr">
        <is>
          <t>ПР-1.7 - 1 шт
ПР-1.8 - 1 шт</t>
        </is>
      </c>
      <c r="V14" s="527" t="n">
        <v>0.001</v>
      </c>
      <c r="W14" s="364" t="n">
        <v>0.2826</v>
      </c>
    </row>
    <row r="15">
      <c r="A15" s="346" t="inlineStr">
        <is>
          <t>мат.</t>
        </is>
      </c>
      <c r="B15" s="346" t="inlineStr">
        <is>
          <t>13АВ-РД-АР1.1-К4/К5</t>
        </is>
      </c>
      <c r="C15" s="379" t="n">
        <v>46043</v>
      </c>
      <c r="D15" s="349" t="inlineStr">
        <is>
          <t>Кладка</t>
        </is>
      </c>
      <c r="E15" s="346" t="inlineStr">
        <is>
          <t>БАЗА</t>
        </is>
      </c>
      <c r="F15" s="346" t="inlineStr">
        <is>
          <t>Наружняя стена из газоблока 200 мм</t>
        </is>
      </c>
      <c r="G15" s="444" t="inlineStr">
        <is>
          <t>Пристройка К4-К5</t>
        </is>
      </c>
      <c r="H15" s="349" t="n"/>
      <c r="I15" s="349" t="n"/>
      <c r="J15" s="439" t="n"/>
      <c r="K15" s="351" t="inlineStr">
        <is>
          <t>Наружная стена из газобетонных блоков, толщиной 200мм,
D600</t>
        </is>
      </c>
      <c r="L15" s="349" t="inlineStr">
        <is>
          <t>м3</t>
        </is>
      </c>
      <c r="M15" s="349" t="n">
        <v>3.8</v>
      </c>
      <c r="N15" s="349">
        <f>V15*W15</f>
        <v/>
      </c>
      <c r="O15" s="349" t="n"/>
      <c r="P15" s="349" t="n"/>
      <c r="Q15" s="429">
        <f>W15*V15</f>
        <v/>
      </c>
      <c r="R15" s="349" t="inlineStr">
        <is>
          <t>м3</t>
        </is>
      </c>
      <c r="S15" s="349" t="n"/>
      <c r="T15" s="349" t="n"/>
      <c r="U15" s="346" t="inlineStr">
        <is>
          <t>СН-1.3
Учтен объем части К4 из РД, объям у пристройки 0,9 м3, в РД не учтена вторая часть пристройки</t>
        </is>
      </c>
      <c r="V15" s="349" t="n">
        <v>1</v>
      </c>
      <c r="W15" s="349" t="n">
        <v>0.9</v>
      </c>
    </row>
    <row r="16">
      <c r="A16" s="375" t="n"/>
      <c r="B16" s="471" t="inlineStr">
        <is>
          <t>13АВ-РД-АР1.1-К4/К5</t>
        </is>
      </c>
      <c r="C16" s="380" t="n">
        <v>46043</v>
      </c>
      <c r="D16" s="67" t="inlineStr">
        <is>
          <t>Кладка</t>
        </is>
      </c>
      <c r="E16" s="378" t="n"/>
      <c r="F16" s="378" t="inlineStr">
        <is>
          <t>Наружняя стена из газоблока 200 мм</t>
        </is>
      </c>
      <c r="G16" s="471" t="inlineStr">
        <is>
          <t>Пристройка К4-К5</t>
        </is>
      </c>
      <c r="H16" s="362" t="n"/>
      <c r="I16" s="362" t="n"/>
      <c r="J16" s="362" t="n"/>
      <c r="K16" s="563" t="inlineStr">
        <is>
          <t>Вертикалное примыкание к ЖБ стенам</t>
        </is>
      </c>
      <c r="L16" s="381" t="inlineStr">
        <is>
          <t>м.п.</t>
        </is>
      </c>
      <c r="M16" s="364" t="n">
        <v>0</v>
      </c>
      <c r="N16" s="413">
        <f>V16*W16</f>
        <v/>
      </c>
      <c r="O16" s="358" t="n"/>
      <c r="P16" s="358" t="n"/>
      <c r="Q16" s="413">
        <f>W16*V16</f>
        <v/>
      </c>
      <c r="R16" s="381" t="inlineStr">
        <is>
          <t>м.п.</t>
        </is>
      </c>
      <c r="S16" s="360" t="n"/>
      <c r="T16" s="360" t="n"/>
      <c r="U16" s="375" t="n"/>
      <c r="V16" s="364" t="n">
        <v>2</v>
      </c>
      <c r="W16" s="364" t="n">
        <v>4.3</v>
      </c>
    </row>
    <row r="17">
      <c r="A17" s="375" t="n"/>
      <c r="B17" s="471" t="inlineStr">
        <is>
          <t>13АВ-РД-АР1.1-К4/К5</t>
        </is>
      </c>
      <c r="C17" s="380" t="n">
        <v>46043</v>
      </c>
      <c r="D17" s="358" t="inlineStr">
        <is>
          <t>Кладка</t>
        </is>
      </c>
      <c r="E17" s="378" t="n"/>
      <c r="F17" s="378" t="inlineStr">
        <is>
          <t>Наружняя стена из газоблока 200 мм</t>
        </is>
      </c>
      <c r="G17" s="471" t="inlineStr">
        <is>
          <t>Пристройка К4-К5</t>
        </is>
      </c>
      <c r="H17" s="362" t="n"/>
      <c r="I17" s="362" t="n"/>
      <c r="J17" s="362" t="n"/>
      <c r="K17" s="376" t="inlineStr">
        <is>
          <t>Примыкание к плите перекрытия</t>
        </is>
      </c>
      <c r="L17" s="381" t="inlineStr">
        <is>
          <t>м.п.</t>
        </is>
      </c>
      <c r="M17" s="364" t="n">
        <v>0</v>
      </c>
      <c r="N17" s="413">
        <f>V17*W17</f>
        <v/>
      </c>
      <c r="O17" s="358" t="n"/>
      <c r="P17" s="358" t="n"/>
      <c r="Q17" s="413">
        <f>W17*V17</f>
        <v/>
      </c>
      <c r="R17" s="381" t="inlineStr">
        <is>
          <t>м.п.</t>
        </is>
      </c>
      <c r="S17" s="360" t="n"/>
      <c r="T17" s="360" t="n"/>
      <c r="U17" s="375" t="n"/>
      <c r="V17" s="364" t="n">
        <v>1</v>
      </c>
      <c r="W17" s="364" t="n">
        <v>1.1</v>
      </c>
    </row>
    <row r="18">
      <c r="A18" s="346" t="inlineStr">
        <is>
          <t>мат.</t>
        </is>
      </c>
      <c r="B18" s="346" t="inlineStr">
        <is>
          <t>13АВ-РД-АР1.1-К4/К5</t>
        </is>
      </c>
      <c r="C18" s="379" t="n">
        <v>46043</v>
      </c>
      <c r="D18" s="349" t="inlineStr">
        <is>
          <t>Кладка</t>
        </is>
      </c>
      <c r="E18" s="346" t="inlineStr">
        <is>
          <t>БАЗА</t>
        </is>
      </c>
      <c r="F18" s="346" t="inlineStr">
        <is>
          <t>Стена из полнотелого кирпича</t>
        </is>
      </c>
      <c r="G18" s="444" t="inlineStr">
        <is>
          <t>Пристройка К4-К5</t>
        </is>
      </c>
      <c r="H18" s="349" t="n"/>
      <c r="I18" s="349" t="n"/>
      <c r="J18" s="439" t="n"/>
      <c r="K18" s="351" t="inlineStr">
        <is>
          <t>Полнотелый кирпич КР-р-по
250х120х65/1НФ/150/2,0/50/ГОСТ 530-2012</t>
        </is>
      </c>
      <c r="L18" s="349" t="inlineStr">
        <is>
          <t>м3</t>
        </is>
      </c>
      <c r="M18" s="349" t="n">
        <v>1.66</v>
      </c>
      <c r="N18" s="349">
        <f>V18*W18</f>
        <v/>
      </c>
      <c r="O18" s="349" t="n"/>
      <c r="P18" s="349" t="n"/>
      <c r="Q18" s="429">
        <f>W18*V18</f>
        <v/>
      </c>
      <c r="R18" s="349" t="inlineStr">
        <is>
          <t>м3</t>
        </is>
      </c>
      <c r="S18" s="349" t="n"/>
      <c r="T18" s="349" t="n"/>
      <c r="U18" s="346" t="inlineStr">
        <is>
          <t>СН-4.1</t>
        </is>
      </c>
      <c r="V18" s="349" t="n">
        <v>1</v>
      </c>
      <c r="W18" s="349">
        <f>0.387+0.129+0.128+0.45+0.217</f>
        <v/>
      </c>
    </row>
    <row r="19">
      <c r="A19" s="375" t="n"/>
      <c r="B19" s="471" t="inlineStr">
        <is>
          <t>13АВ-РД-АР1.1-К4/К5</t>
        </is>
      </c>
      <c r="C19" s="380" t="n">
        <v>46043</v>
      </c>
      <c r="D19" s="67" t="inlineStr">
        <is>
          <t>Кладка</t>
        </is>
      </c>
      <c r="E19" s="471" t="n"/>
      <c r="F19" s="471" t="inlineStr">
        <is>
          <t>Стена из полнотелого кирпича</t>
        </is>
      </c>
      <c r="G19" s="471" t="inlineStr">
        <is>
          <t>Пристройка К4-К5</t>
        </is>
      </c>
      <c r="H19" s="362" t="n"/>
      <c r="I19" s="362" t="n"/>
      <c r="J19" s="362" t="n"/>
      <c r="K19" s="563" t="inlineStr">
        <is>
          <t>Вертикалное примыкание к ЖБ стенам</t>
        </is>
      </c>
      <c r="L19" s="381" t="inlineStr">
        <is>
          <t>м.п.</t>
        </is>
      </c>
      <c r="M19" s="364" t="n">
        <v>0</v>
      </c>
      <c r="N19" s="413">
        <f>V19*W19</f>
        <v/>
      </c>
      <c r="O19" s="358" t="n"/>
      <c r="P19" s="358" t="n"/>
      <c r="Q19" s="413">
        <f>W19*V19</f>
        <v/>
      </c>
      <c r="R19" s="381" t="inlineStr">
        <is>
          <t>м.п.</t>
        </is>
      </c>
      <c r="S19" s="67" t="n"/>
      <c r="T19" s="67" t="n"/>
      <c r="U19" s="471" t="n"/>
      <c r="V19" s="527" t="n">
        <v>4</v>
      </c>
      <c r="W19" s="364" t="n">
        <v>4.35</v>
      </c>
    </row>
    <row r="20">
      <c r="A20" s="375" t="n"/>
      <c r="B20" s="471" t="inlineStr">
        <is>
          <t>13АВ-РД-АР1.1-К4/К5</t>
        </is>
      </c>
      <c r="C20" s="380" t="n">
        <v>46043</v>
      </c>
      <c r="D20" s="358" t="inlineStr">
        <is>
          <t>Кладка</t>
        </is>
      </c>
      <c r="E20" s="471" t="n"/>
      <c r="F20" s="471" t="inlineStr">
        <is>
          <t>Стена из полнотелого кирпича</t>
        </is>
      </c>
      <c r="G20" s="471" t="inlineStr">
        <is>
          <t>Пристройка К4-К5</t>
        </is>
      </c>
      <c r="H20" s="362" t="n"/>
      <c r="I20" s="362" t="n"/>
      <c r="J20" s="362" t="n"/>
      <c r="K20" s="376" t="inlineStr">
        <is>
          <t>Примыкание к плите перекрытия</t>
        </is>
      </c>
      <c r="L20" s="381" t="inlineStr">
        <is>
          <t>м.п.</t>
        </is>
      </c>
      <c r="M20" s="364" t="n">
        <v>0</v>
      </c>
      <c r="N20" s="413">
        <f>V20*W20</f>
        <v/>
      </c>
      <c r="O20" s="358" t="n"/>
      <c r="P20" s="358" t="n"/>
      <c r="Q20" s="413">
        <f>W20*V20</f>
        <v/>
      </c>
      <c r="R20" s="381" t="inlineStr">
        <is>
          <t>м.п.</t>
        </is>
      </c>
      <c r="S20" s="67" t="n"/>
      <c r="T20" s="67" t="n"/>
      <c r="U20" s="471" t="inlineStr">
        <is>
          <t xml:space="preserve"> </t>
        </is>
      </c>
      <c r="V20" s="527" t="n">
        <v>1</v>
      </c>
      <c r="W20" s="364" t="n">
        <v>2.85</v>
      </c>
    </row>
    <row r="21">
      <c r="A21" s="346" t="n"/>
      <c r="B21" s="346" t="n"/>
      <c r="C21" s="379" t="n"/>
      <c r="D21" s="349" t="n"/>
      <c r="E21" s="346" t="n"/>
      <c r="F21" s="346" t="n"/>
      <c r="G21" s="444" t="inlineStr">
        <is>
          <t>Перемычки из РД в К4</t>
        </is>
      </c>
      <c r="H21" s="349" t="n"/>
      <c r="I21" s="349" t="n"/>
      <c r="J21" s="439" t="n"/>
      <c r="K21" s="351" t="n"/>
      <c r="L21" s="349" t="n"/>
      <c r="M21" s="349" t="n"/>
      <c r="N21" s="349" t="n"/>
      <c r="O21" s="349" t="n"/>
      <c r="P21" s="349" t="n"/>
      <c r="Q21" s="429" t="n"/>
      <c r="R21" s="349" t="n"/>
      <c r="S21" s="349" t="n"/>
      <c r="T21" s="349" t="n"/>
      <c r="U21" s="346" t="n"/>
      <c r="V21" s="349" t="n"/>
      <c r="W21" s="349" t="n"/>
    </row>
    <row r="22" ht="29.25" customHeight="1" s="1227">
      <c r="A22" s="375" t="inlineStr">
        <is>
          <t>мат.</t>
        </is>
      </c>
      <c r="B22" s="471" t="inlineStr">
        <is>
          <t>13АВ-РД-АР1.1-К4/К5</t>
        </is>
      </c>
      <c r="C22" s="380" t="n">
        <v>46043</v>
      </c>
      <c r="D22" s="67" t="inlineStr">
        <is>
          <t>Кладка</t>
        </is>
      </c>
      <c r="E22" s="358" t="inlineStr">
        <is>
          <t>БАЗА</t>
        </is>
      </c>
      <c r="F22" s="471" t="inlineStr">
        <is>
          <t>Перемычки К4</t>
        </is>
      </c>
      <c r="G22" s="386" t="inlineStr">
        <is>
          <t>Перемычки из РД в К4</t>
        </is>
      </c>
      <c r="H22" s="362" t="n"/>
      <c r="I22" s="362" t="n"/>
      <c r="J22" s="362" t="n"/>
      <c r="K22" s="376" t="inlineStr">
        <is>
          <t>Анкер-шпилька Hilti HST M 10х100</t>
        </is>
      </c>
      <c r="L22" s="381" t="inlineStr">
        <is>
          <t>шт</t>
        </is>
      </c>
      <c r="M22" s="364" t="n">
        <v>0</v>
      </c>
      <c r="N22" s="413">
        <f>V22*W22</f>
        <v/>
      </c>
      <c r="O22" s="358" t="n"/>
      <c r="P22" s="358" t="n"/>
      <c r="Q22" s="413">
        <f>W22*V22</f>
        <v/>
      </c>
      <c r="R22" s="381" t="inlineStr">
        <is>
          <t>шт</t>
        </is>
      </c>
      <c r="S22" s="360" t="n"/>
      <c r="T22" s="360" t="n"/>
      <c r="U22" s="375" t="inlineStr">
        <is>
          <t>ПР-1.1 - 1 шт
ПР-1.2 - 1 шт
ПР-1.3 - 1 шт
ПР-1.4 - 1 шт
ПР-1.5 - 1 шт
ПР-1.6 - 2 шт
ПР-1.7 - 1 шт</t>
        </is>
      </c>
      <c r="V22" s="527" t="n">
        <v>1</v>
      </c>
      <c r="W22" s="387">
        <f>2+2+2+2</f>
        <v/>
      </c>
      <c r="X22" s="388" t="n"/>
    </row>
    <row r="23" ht="29.25" customHeight="1" s="1227">
      <c r="A23" s="375" t="inlineStr">
        <is>
          <t>мат.</t>
        </is>
      </c>
      <c r="B23" s="471" t="inlineStr">
        <is>
          <t>13АВ-РД-АР1.1-К4/К5</t>
        </is>
      </c>
      <c r="C23" s="380" t="n">
        <v>46043</v>
      </c>
      <c r="D23" s="358" t="inlineStr">
        <is>
          <t>Кладка</t>
        </is>
      </c>
      <c r="E23" s="358" t="inlineStr">
        <is>
          <t>БАЗА</t>
        </is>
      </c>
      <c r="F23" s="471" t="inlineStr">
        <is>
          <t>Перемычки К4</t>
        </is>
      </c>
      <c r="G23" s="386" t="inlineStr">
        <is>
          <t>Перемычки из РД в К4</t>
        </is>
      </c>
      <c r="H23" s="362" t="n"/>
      <c r="I23" s="362" t="n"/>
      <c r="J23" s="362" t="n"/>
      <c r="K23" s="376" t="inlineStr">
        <is>
          <t>Пластина 50х4</t>
        </is>
      </c>
      <c r="L23" s="381" t="inlineStr">
        <is>
          <t>т</t>
        </is>
      </c>
      <c r="M23" s="364" t="n">
        <v>0</v>
      </c>
      <c r="N23" s="413">
        <f>V23*W23</f>
        <v/>
      </c>
      <c r="O23" s="358" t="n"/>
      <c r="P23" s="358" t="n"/>
      <c r="Q23" s="413">
        <f>W23*V23</f>
        <v/>
      </c>
      <c r="R23" s="381" t="inlineStr">
        <is>
          <t>т</t>
        </is>
      </c>
      <c r="S23" s="360" t="n"/>
      <c r="T23" s="360" t="n"/>
      <c r="U23" s="375" t="inlineStr">
        <is>
          <t>ПР-1.1 - 1 шт
ПР-1.2 - 1 шт
ПР-1.3 - 1 шт
ПР-1.4 - 1 шт
ПР-1.5 - 1 шт
ПР-1.6 - 2 шт
ПР-1.7 - 1 шт</t>
        </is>
      </c>
      <c r="V23" s="527" t="n">
        <v>0.001</v>
      </c>
      <c r="W23" s="387">
        <f>0.72+87+0.87+0.87+0.87</f>
        <v/>
      </c>
      <c r="X23" s="388" t="n"/>
    </row>
    <row r="24" ht="29.25" customHeight="1" s="1227">
      <c r="A24" s="375" t="inlineStr">
        <is>
          <t>мат.</t>
        </is>
      </c>
      <c r="B24" s="471" t="inlineStr">
        <is>
          <t>13АВ-РД-АР1.1-К4/К5</t>
        </is>
      </c>
      <c r="C24" s="380" t="n">
        <v>46043</v>
      </c>
      <c r="D24" s="67" t="inlineStr">
        <is>
          <t>Кладка</t>
        </is>
      </c>
      <c r="E24" s="358" t="inlineStr">
        <is>
          <t>БАЗА</t>
        </is>
      </c>
      <c r="F24" s="471" t="inlineStr">
        <is>
          <t>Перемычки К4</t>
        </is>
      </c>
      <c r="G24" s="386" t="inlineStr">
        <is>
          <t>Перемычки из РД в К4</t>
        </is>
      </c>
      <c r="H24" s="362" t="n"/>
      <c r="I24" s="362" t="n"/>
      <c r="J24" s="362" t="n"/>
      <c r="K24" s="376" t="inlineStr">
        <is>
          <t xml:space="preserve">Уголок 75х5 </t>
        </is>
      </c>
      <c r="L24" s="381" t="inlineStr">
        <is>
          <t>т</t>
        </is>
      </c>
      <c r="M24" s="385" t="n">
        <v>0</v>
      </c>
      <c r="N24" s="384">
        <f>V24*W24</f>
        <v/>
      </c>
      <c r="O24" s="385" t="n"/>
      <c r="P24" s="385" t="n"/>
      <c r="Q24" s="384">
        <f>W24*V24</f>
        <v/>
      </c>
      <c r="R24" s="381" t="inlineStr">
        <is>
          <t>т</t>
        </is>
      </c>
      <c r="S24" s="360" t="n"/>
      <c r="T24" s="360" t="n"/>
      <c r="U24" s="375" t="inlineStr">
        <is>
          <t>ПР-1.1 - 1 шт
ПР-1.2 - 1 шт
ПР-1.3 - 1 шт
ПР-1.4 - 1 шт
ПР-1.5 - 1 шт
ПР-1.6 - 2 шт
ПР-1.7 - 1 шт</t>
        </is>
      </c>
      <c r="V24" s="527" t="n">
        <v>0.001</v>
      </c>
      <c r="W24" s="364">
        <f>28.42+23.78+26.1+26.1+29+23.2+7.54</f>
        <v/>
      </c>
    </row>
    <row r="25" ht="29.25" customHeight="1" s="1227">
      <c r="A25" s="375" t="inlineStr">
        <is>
          <t>мат.</t>
        </is>
      </c>
      <c r="B25" s="471" t="inlineStr">
        <is>
          <t>13АВ-РД-АР1.1-К4/К5</t>
        </is>
      </c>
      <c r="C25" s="380" t="n">
        <v>46043</v>
      </c>
      <c r="D25" s="358" t="inlineStr">
        <is>
          <t>Кладка</t>
        </is>
      </c>
      <c r="E25" s="358" t="inlineStr">
        <is>
          <t>БАЗА</t>
        </is>
      </c>
      <c r="F25" s="471" t="inlineStr">
        <is>
          <t>Перемычки К4</t>
        </is>
      </c>
      <c r="G25" s="386" t="inlineStr">
        <is>
          <t>Перемычки из РД в К4</t>
        </is>
      </c>
      <c r="H25" s="362" t="n"/>
      <c r="I25" s="362" t="n"/>
      <c r="J25" s="362" t="n"/>
      <c r="K25" s="376" t="inlineStr">
        <is>
          <t>Уголок 80х6</t>
        </is>
      </c>
      <c r="L25" s="381" t="inlineStr">
        <is>
          <t>т</t>
        </is>
      </c>
      <c r="M25" s="385" t="n">
        <v>0</v>
      </c>
      <c r="N25" s="384">
        <f>V25*W25</f>
        <v/>
      </c>
      <c r="O25" s="385" t="n"/>
      <c r="P25" s="385" t="n"/>
      <c r="Q25" s="384">
        <f>W25*V25</f>
        <v/>
      </c>
      <c r="R25" s="381" t="inlineStr">
        <is>
          <t>т</t>
        </is>
      </c>
      <c r="S25" s="360" t="n"/>
      <c r="T25" s="360" t="n"/>
      <c r="U25" s="375" t="inlineStr">
        <is>
          <t>ПР-1.1 - 1 шт
ПР-1.2 - 1 шт
ПР-1.3 - 1 шт
ПР-1.4 - 1 шт
ПР-1.5 - 1 шт
ПР-1.6 - 2 шт
ПР-1.7 - 1 шт</t>
        </is>
      </c>
      <c r="V25" s="527" t="n">
        <v>0.001</v>
      </c>
      <c r="W25" s="364">
        <f>1.86+2.2+2.2+2.2+4.41</f>
        <v/>
      </c>
    </row>
    <row r="26">
      <c r="A26" s="389" t="n"/>
      <c r="B26" s="390" t="n"/>
      <c r="C26" s="391" t="n"/>
      <c r="D26" s="392" t="n"/>
      <c r="E26" s="390" t="n"/>
      <c r="F26" s="390" t="n"/>
      <c r="G26" s="390" t="n"/>
      <c r="H26" s="393" t="n"/>
      <c r="I26" s="393" t="n"/>
      <c r="J26" s="393" t="n"/>
      <c r="K26" s="394" t="n"/>
      <c r="L26" s="1221" t="n"/>
      <c r="M26" s="396" t="n"/>
      <c r="N26" s="562" t="n"/>
      <c r="O26" s="392" t="n"/>
      <c r="P26" s="392" t="n"/>
      <c r="Q26" s="562" t="n"/>
      <c r="R26" s="1221" t="n"/>
      <c r="S26" s="530" t="n"/>
      <c r="T26" s="530" t="n"/>
      <c r="U26" s="390" t="n"/>
      <c r="V26" s="399" t="n"/>
      <c r="W26" s="396" t="n"/>
    </row>
    <row r="27">
      <c r="A27" s="389" t="n"/>
      <c r="B27" s="390" t="n"/>
      <c r="C27" s="391" t="n"/>
      <c r="D27" s="392" t="n"/>
      <c r="E27" s="390" t="n"/>
      <c r="F27" s="390" t="n"/>
      <c r="G27" s="390" t="n"/>
      <c r="H27" s="393" t="n"/>
      <c r="I27" s="393" t="n"/>
      <c r="J27" s="393" t="n"/>
      <c r="K27" s="394" t="n"/>
      <c r="L27" s="1221" t="n"/>
      <c r="M27" s="396" t="n"/>
      <c r="N27" s="562" t="n"/>
      <c r="O27" s="392" t="n"/>
      <c r="P27" s="392" t="n"/>
      <c r="Q27" s="562" t="n"/>
      <c r="R27" s="1221" t="n"/>
      <c r="S27" s="530" t="n"/>
      <c r="T27" s="530" t="n"/>
      <c r="U27" s="390" t="n"/>
      <c r="V27" s="399" t="n"/>
      <c r="W27" s="396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405">
      <c r="A405" s="524" t="inlineStr">
        <is>
          <t>Р</t>
        </is>
      </c>
      <c r="B405" s="524" t="inlineStr">
        <is>
          <t>Р</t>
        </is>
      </c>
      <c r="C405" s="524" t="inlineStr">
        <is>
          <t>Р</t>
        </is>
      </c>
      <c r="D405" s="524" t="inlineStr">
        <is>
          <t>Р</t>
        </is>
      </c>
      <c r="E405" s="524" t="inlineStr">
        <is>
          <t>Р</t>
        </is>
      </c>
      <c r="F405" s="524" t="inlineStr">
        <is>
          <t>Р</t>
        </is>
      </c>
      <c r="G405" s="524" t="inlineStr">
        <is>
          <t>Р</t>
        </is>
      </c>
      <c r="H405" s="524" t="inlineStr">
        <is>
          <t>С</t>
        </is>
      </c>
      <c r="I405" s="524" t="inlineStr">
        <is>
          <t>С</t>
        </is>
      </c>
      <c r="J405" s="524" t="inlineStr">
        <is>
          <t>Р</t>
        </is>
      </c>
      <c r="K405" s="524" t="inlineStr">
        <is>
          <t>Р</t>
        </is>
      </c>
      <c r="L405" s="524" t="inlineStr">
        <is>
          <t>Р</t>
        </is>
      </c>
      <c r="M405" s="524" t="inlineStr">
        <is>
          <t>Р</t>
        </is>
      </c>
      <c r="N405" s="524" t="inlineStr">
        <is>
          <t>Р</t>
        </is>
      </c>
      <c r="O405" s="524" t="inlineStr">
        <is>
          <t>Р</t>
        </is>
      </c>
      <c r="P405" s="524" t="inlineStr">
        <is>
          <t>Р</t>
        </is>
      </c>
      <c r="Q405" s="524" t="inlineStr">
        <is>
          <t>Р</t>
        </is>
      </c>
      <c r="R405" s="524" t="inlineStr">
        <is>
          <t>Р</t>
        </is>
      </c>
      <c r="S405" s="524" t="inlineStr">
        <is>
          <t>С</t>
        </is>
      </c>
      <c r="T405" s="524" t="inlineStr">
        <is>
          <t>С</t>
        </is>
      </c>
      <c r="U405" s="524" t="inlineStr">
        <is>
          <t>Р</t>
        </is>
      </c>
      <c r="V405" s="340" t="inlineStr">
        <is>
          <t>Р</t>
        </is>
      </c>
      <c r="W405" s="340" t="inlineStr">
        <is>
          <t>Р</t>
        </is>
      </c>
    </row>
    <row r="406">
      <c r="A406" s="524" t="inlineStr">
        <is>
          <t>Поз.</t>
        </is>
      </c>
      <c r="B406" s="524" t="inlineStr">
        <is>
          <t>Шифр проекта</t>
        </is>
      </c>
      <c r="C406" s="524" t="inlineStr">
        <is>
          <t>Дата выдачи РД или ИЗМа</t>
        </is>
      </c>
      <c r="D406" s="524" t="inlineStr">
        <is>
          <t>Система</t>
        </is>
      </c>
      <c r="E406" s="524" t="inlineStr">
        <is>
          <t>Указать базовый материал</t>
        </is>
      </c>
      <c r="F406" s="524" t="inlineStr">
        <is>
          <t>Вид работ</t>
        </is>
      </c>
      <c r="G406" s="524" t="inlineStr">
        <is>
          <t xml:space="preserve">Корпус </t>
        </is>
      </c>
      <c r="H406" s="524" t="inlineStr">
        <is>
          <t xml:space="preserve">Наименование Работ </t>
        </is>
      </c>
      <c r="I406" s="524" t="inlineStr">
        <is>
          <t>Ед. изм. работ</t>
        </is>
      </c>
      <c r="J406" s="524" t="inlineStr">
        <is>
          <t>Объем работ</t>
        </is>
      </c>
      <c r="K406" s="524" t="inlineStr">
        <is>
          <t>Наuменованuе u mехнuческая xapaкmepucmuкa</t>
        </is>
      </c>
      <c r="L406" s="524" t="inlineStr">
        <is>
          <t>Ед. изм. (РД)</t>
        </is>
      </c>
      <c r="M406" s="524" t="inlineStr">
        <is>
          <t>Кол-во по проекту (последняя версия)</t>
        </is>
      </c>
      <c r="N406" s="524" t="inlineStr">
        <is>
          <t>Итого в смету (в ед.изм РД)</t>
        </is>
      </c>
      <c r="O406" s="341" t="inlineStr">
        <is>
          <t>Добавлено по запросу площадки (Работы)</t>
        </is>
      </c>
      <c r="P406" s="341" t="inlineStr">
        <is>
          <t>Добавлено по запросу площадки (только мат.)</t>
        </is>
      </c>
      <c r="Q406" s="524" t="inlineStr">
        <is>
          <t>Итого в смету (в ед.изм номенклатур)</t>
        </is>
      </c>
      <c r="R406" s="524" t="inlineStr">
        <is>
          <t>Ед. изм. (НОМ.)</t>
        </is>
      </c>
      <c r="S406" s="524" t="inlineStr">
        <is>
          <t>Номенклатура</t>
        </is>
      </c>
      <c r="T406" s="524" t="inlineStr">
        <is>
          <t>Наименование производителя</t>
        </is>
      </c>
      <c r="U406" s="524" t="inlineStr">
        <is>
          <t>Примечание</t>
        </is>
      </c>
      <c r="V406" s="425" t="inlineStr">
        <is>
          <t>Коэф. расхода</t>
        </is>
      </c>
      <c r="W406" s="425" t="inlineStr">
        <is>
          <t>1</t>
        </is>
      </c>
    </row>
    <row r="407">
      <c r="A407" s="343" t="inlineStr">
        <is>
          <t>мат. (чтобы материал попал в сводную)</t>
        </is>
      </c>
      <c r="B407" s="343" t="inlineStr">
        <is>
          <t>ШИФР (проекта полностью)</t>
        </is>
      </c>
      <c r="C407" s="343" t="inlineStr">
        <is>
          <t>Дата выдачи комплекта</t>
        </is>
      </c>
      <c r="D407" s="343" t="inlineStr">
        <is>
          <t>Раздел</t>
        </is>
      </c>
      <c r="E407" s="343" t="inlineStr">
        <is>
          <t>Материал относительно которого считается объем работ</t>
        </is>
      </c>
      <c r="F407" s="343" t="inlineStr">
        <is>
          <t>Состав работ</t>
        </is>
      </c>
      <c r="G407" s="343" t="inlineStr">
        <is>
          <t>Номер корпуса</t>
        </is>
      </c>
      <c r="H407" s="343" t="inlineStr">
        <is>
          <t>Наименование работ под материал из 1С/договора субподряда</t>
        </is>
      </c>
      <c r="I407" s="344" t="n"/>
      <c r="J407" s="343" t="inlineStr">
        <is>
          <t>Объем работ на базовые материалы</t>
        </is>
      </c>
      <c r="K407" s="343" t="inlineStr">
        <is>
          <t>Все харрактеристики со спецификации по материалу</t>
        </is>
      </c>
      <c r="L407" s="343" t="inlineStr">
        <is>
          <t>Ед.изм по РД</t>
        </is>
      </c>
      <c r="M407" s="343" t="inlineStr">
        <is>
          <t>Кол-во со спецификации</t>
        </is>
      </c>
      <c r="N407" s="343" t="inlineStr">
        <is>
          <t>Кол-во по подсчету в ед.изм.РД (Сумма по этажам)</t>
        </is>
      </c>
      <c r="O407" s="344" t="n"/>
      <c r="P407" s="344" t="n"/>
      <c r="Q407" s="343" t="inlineStr">
        <is>
          <t>Итого с коэф.перевода</t>
        </is>
      </c>
      <c r="R407" s="343" t="inlineStr">
        <is>
          <t>ед. изм. НОМЕНКЛАТУРЫ</t>
        </is>
      </c>
      <c r="S407" s="343" t="inlineStr">
        <is>
          <t>Соответствующая позиции номенклатура</t>
        </is>
      </c>
      <c r="T407" s="343" t="inlineStr">
        <is>
          <t>Соответствующее наименование производителя</t>
        </is>
      </c>
      <c r="U407" s="343" t="inlineStr">
        <is>
          <t>Доп. информация</t>
        </is>
      </c>
      <c r="V407" s="345" t="n"/>
      <c r="W407" s="345" t="inlineStr">
        <is>
          <t>Кол-во на этаже</t>
        </is>
      </c>
    </row>
    <row r="408">
      <c r="A408" s="346" t="inlineStr">
        <is>
          <t>мат.</t>
        </is>
      </c>
      <c r="B408" s="346" t="inlineStr">
        <is>
          <t>13АВ-РД-АР1.1-К3/К4</t>
        </is>
      </c>
      <c r="C408" s="349" t="inlineStr">
        <is>
          <t>21.01.2026)</t>
        </is>
      </c>
      <c r="D408" s="349" t="inlineStr">
        <is>
          <t>Кладка</t>
        </is>
      </c>
      <c r="E408" s="349" t="inlineStr">
        <is>
          <t>БАЗА</t>
        </is>
      </c>
      <c r="F408" s="346" t="inlineStr">
        <is>
          <t>Внутренние стены D600
250мм</t>
        </is>
      </c>
      <c r="G408" s="444" t="inlineStr">
        <is>
          <t>Пристройка К3-К4</t>
        </is>
      </c>
      <c r="H408" s="349" t="n"/>
      <c r="I408" s="349" t="inlineStr">
        <is>
          <t>м3</t>
        </is>
      </c>
      <c r="J408" s="439" t="n"/>
      <c r="K408" s="351" t="inlineStr">
        <is>
          <t xml:space="preserve">Внутренняя стена из газобетонных
блоков, толщиной 250 мм, D600 </t>
        </is>
      </c>
      <c r="L408" s="349" t="inlineStr">
        <is>
          <t>м3</t>
        </is>
      </c>
      <c r="M408" s="349" t="n">
        <v>20.92</v>
      </c>
      <c r="N408" s="349">
        <f>SUM(W408)</f>
        <v/>
      </c>
      <c r="O408" s="349" t="n"/>
      <c r="P408" s="349" t="n"/>
      <c r="Q408" s="429">
        <f>N408*V408+P408</f>
        <v/>
      </c>
      <c r="R408" s="349" t="inlineStr">
        <is>
          <t>м3</t>
        </is>
      </c>
      <c r="S408" s="349" t="n"/>
      <c r="T408" s="349" t="n"/>
      <c r="U408" s="349" t="inlineStr">
        <is>
          <t>СВ-1.1
(В РД ошибочно учтен объем К4)</t>
        </is>
      </c>
      <c r="V408" s="349" t="n">
        <v>1</v>
      </c>
      <c r="W408" s="349" t="n">
        <v>6.87</v>
      </c>
    </row>
    <row r="409">
      <c r="A409" s="471" t="n"/>
      <c r="B409" s="471" t="inlineStr">
        <is>
          <t>13АВ-РД-АР1.1-К3/К4</t>
        </is>
      </c>
      <c r="C409" s="67" t="inlineStr">
        <is>
          <t>21.01.2026)</t>
        </is>
      </c>
      <c r="D409" s="67" t="inlineStr">
        <is>
          <t>Кладка</t>
        </is>
      </c>
      <c r="E409" s="67" t="n"/>
      <c r="F409" s="471" t="inlineStr">
        <is>
          <t>Внутренние стены D600
250мм</t>
        </is>
      </c>
      <c r="G409" s="471" t="inlineStr">
        <is>
          <t>Пристройка К3-К4</t>
        </is>
      </c>
      <c r="H409" s="67" t="n"/>
      <c r="I409" s="67" t="n"/>
      <c r="J409" s="419" t="n"/>
      <c r="K409" s="563" t="inlineStr">
        <is>
          <t>Вертикалное примыкание к ЖБ стенам</t>
        </is>
      </c>
      <c r="L409" s="381" t="inlineStr">
        <is>
          <t>м.п.</t>
        </is>
      </c>
      <c r="M409" s="364" t="n">
        <v>0</v>
      </c>
      <c r="N409" s="364">
        <f>SUM(W409)</f>
        <v/>
      </c>
      <c r="O409" s="358" t="n">
        <v>0</v>
      </c>
      <c r="P409" s="358" t="n">
        <v>0</v>
      </c>
      <c r="Q409" s="364">
        <f>N409*V409+P409</f>
        <v/>
      </c>
      <c r="R409" s="358" t="inlineStr">
        <is>
          <t>м.п.</t>
        </is>
      </c>
      <c r="S409" s="67" t="n"/>
      <c r="T409" s="67" t="n"/>
      <c r="U409" s="563" t="inlineStr">
        <is>
          <t>Вертикалное примыкание к ЖБ стенам</t>
        </is>
      </c>
      <c r="V409" s="67" t="n">
        <v>1</v>
      </c>
      <c r="W409" s="67">
        <f>2*4.55</f>
        <v/>
      </c>
    </row>
    <row r="410">
      <c r="A410" s="375" t="n"/>
      <c r="B410" s="375" t="inlineStr">
        <is>
          <t>13АВ-РД-АР1.1-К3/К4</t>
        </is>
      </c>
      <c r="C410" s="67" t="inlineStr">
        <is>
          <t>21.01.2026)</t>
        </is>
      </c>
      <c r="D410" s="358" t="inlineStr">
        <is>
          <t>Кладка</t>
        </is>
      </c>
      <c r="E410" s="360" t="n"/>
      <c r="F410" s="378" t="inlineStr">
        <is>
          <t>Внутренние стены D600
250мм</t>
        </is>
      </c>
      <c r="G410" s="471" t="inlineStr">
        <is>
          <t>Пристройка К3-К4</t>
        </is>
      </c>
      <c r="H410" s="362" t="n"/>
      <c r="I410" s="362" t="n"/>
      <c r="J410" s="362" t="n"/>
      <c r="K410" s="376" t="inlineStr">
        <is>
          <t>Примыкание к плите перекрытия</t>
        </is>
      </c>
      <c r="L410" s="381" t="inlineStr">
        <is>
          <t>м.п.</t>
        </is>
      </c>
      <c r="M410" s="364" t="n">
        <v>0</v>
      </c>
      <c r="N410" s="364">
        <f>SUM(W410)</f>
        <v/>
      </c>
      <c r="O410" s="358" t="n">
        <v>0</v>
      </c>
      <c r="P410" s="358" t="n">
        <v>0</v>
      </c>
      <c r="Q410" s="364">
        <f>N410*V410+P410</f>
        <v/>
      </c>
      <c r="R410" s="358" t="inlineStr">
        <is>
          <t>м.п.</t>
        </is>
      </c>
      <c r="S410" s="360" t="n"/>
      <c r="T410" s="360" t="n"/>
      <c r="U410" s="375" t="inlineStr">
        <is>
          <t xml:space="preserve">Верхнее крепление газобетонных блоков СВ-1.1 к перекрытию </t>
        </is>
      </c>
      <c r="V410" s="364" t="n">
        <v>1</v>
      </c>
      <c r="W410" s="364" t="n">
        <v>12</v>
      </c>
    </row>
    <row r="411">
      <c r="A411" s="365" t="inlineStr">
        <is>
          <t>мат.</t>
        </is>
      </c>
      <c r="B411" s="365" t="inlineStr">
        <is>
          <t>13АВ-РД-АР1.1-К3/К4</t>
        </is>
      </c>
      <c r="C411" s="366" t="inlineStr">
        <is>
          <t>21.01.2026)</t>
        </is>
      </c>
      <c r="D411" s="366" t="inlineStr">
        <is>
          <t>Кладка</t>
        </is>
      </c>
      <c r="E411" s="366" t="inlineStr">
        <is>
          <t>БАЗА</t>
        </is>
      </c>
      <c r="F411" s="365" t="inlineStr">
        <is>
          <t>Перемычки</t>
        </is>
      </c>
      <c r="G411" s="365" t="inlineStr">
        <is>
          <t>Пристройка К3-К4</t>
        </is>
      </c>
      <c r="H411" s="368" t="n"/>
      <c r="I411" s="368" t="n"/>
      <c r="J411" s="368" t="n"/>
      <c r="K411" s="369" t="inlineStr">
        <is>
          <t xml:space="preserve"> Анкер-шпилька Hilti HST M 10х100</t>
        </is>
      </c>
      <c r="L411" s="366" t="inlineStr">
        <is>
          <t>шт</t>
        </is>
      </c>
      <c r="M411" s="372" t="n">
        <v>0</v>
      </c>
      <c r="N411" s="372" t="n">
        <v>0</v>
      </c>
      <c r="O411" s="366" t="n">
        <v>0</v>
      </c>
      <c r="P411" s="366" t="n">
        <v>0</v>
      </c>
      <c r="Q411" s="372">
        <f>W411*V411</f>
        <v/>
      </c>
      <c r="R411" s="366" t="inlineStr">
        <is>
          <t>т</t>
        </is>
      </c>
      <c r="S411" s="371" t="n"/>
      <c r="T411" s="371" t="n"/>
      <c r="U411" s="365" t="inlineStr">
        <is>
          <t>ПР-1.1, ПР-1.2, ПР-1.3, ПР-1.5, ПР-1.6
(Объем стен со спецификации учтен в корпусе 4)</t>
        </is>
      </c>
      <c r="V411" s="372" t="n">
        <v>1</v>
      </c>
      <c r="W411" s="372" t="n">
        <v>2</v>
      </c>
    </row>
    <row r="412">
      <c r="A412" s="365" t="inlineStr">
        <is>
          <t>мат.</t>
        </is>
      </c>
      <c r="B412" s="365" t="inlineStr">
        <is>
          <t>13АВ-РД-АР1.1-К3/К4</t>
        </is>
      </c>
      <c r="C412" s="366" t="inlineStr">
        <is>
          <t>21.01.2026)</t>
        </is>
      </c>
      <c r="D412" s="366" t="inlineStr">
        <is>
          <t>Кладка</t>
        </is>
      </c>
      <c r="E412" s="366" t="inlineStr">
        <is>
          <t>БАЗА</t>
        </is>
      </c>
      <c r="F412" s="365" t="inlineStr">
        <is>
          <t>Перемычки</t>
        </is>
      </c>
      <c r="G412" s="365" t="inlineStr">
        <is>
          <t>Пристройка К3-К4</t>
        </is>
      </c>
      <c r="H412" s="368" t="n"/>
      <c r="I412" s="368" t="n"/>
      <c r="J412" s="368" t="n"/>
      <c r="K412" s="369" t="inlineStr">
        <is>
          <t>Пластина 50х4 (L=230мм)</t>
        </is>
      </c>
      <c r="L412" s="366" t="inlineStr">
        <is>
          <t>т</t>
        </is>
      </c>
      <c r="M412" s="372" t="n">
        <v>0</v>
      </c>
      <c r="N412" s="374" t="n">
        <v>0.001</v>
      </c>
      <c r="O412" s="366" t="n">
        <v>0</v>
      </c>
      <c r="P412" s="366" t="n">
        <v>0</v>
      </c>
      <c r="Q412" s="374">
        <f>W412*V412</f>
        <v/>
      </c>
      <c r="R412" s="366" t="inlineStr">
        <is>
          <t>т</t>
        </is>
      </c>
      <c r="S412" s="371" t="n"/>
      <c r="T412" s="371" t="n"/>
      <c r="U412" s="365" t="inlineStr">
        <is>
          <t>ПР-1.1, ПР-1.2, ПР-1.3, ПР-1.5, ПР-1.6
(Объем стен со спецификации учтен в корпусе 4)</t>
        </is>
      </c>
      <c r="V412" s="374" t="n">
        <v>0.001</v>
      </c>
      <c r="W412" s="372" t="n">
        <v>1.44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Уголок 75х5 (L=1960мм)</t>
        </is>
      </c>
      <c r="L413" s="366" t="inlineStr">
        <is>
          <t>т</t>
        </is>
      </c>
      <c r="M413" s="372" t="n">
        <v>0</v>
      </c>
      <c r="N413" s="374" t="n">
        <v>0.05</v>
      </c>
      <c r="O413" s="366" t="n">
        <v>0</v>
      </c>
      <c r="P413" s="366" t="n">
        <v>0</v>
      </c>
      <c r="Q413" s="374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4" t="n">
        <v>0.001</v>
      </c>
      <c r="W413" s="372" t="n">
        <v>49.88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 xml:space="preserve"> Уголок 80х6 (L=250мм) </t>
        </is>
      </c>
      <c r="L414" s="366" t="inlineStr">
        <is>
          <t>т</t>
        </is>
      </c>
      <c r="M414" s="372" t="n">
        <v>0</v>
      </c>
      <c r="N414" s="374" t="n">
        <v>0.002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2.2</v>
      </c>
    </row>
    <row r="415">
      <c r="A415" s="346" t="inlineStr">
        <is>
          <t>мат.</t>
        </is>
      </c>
      <c r="B415" s="346" t="inlineStr">
        <is>
          <t>13АВ-РД-АР1.1-К3/К4</t>
        </is>
      </c>
      <c r="C415" s="349" t="inlineStr">
        <is>
          <t>21.01.2026)</t>
        </is>
      </c>
      <c r="D415" s="349" t="inlineStr">
        <is>
          <t>Кладка</t>
        </is>
      </c>
      <c r="E415" s="349" t="inlineStr">
        <is>
          <t>БАЗА</t>
        </is>
      </c>
      <c r="F415" s="346" t="inlineStr">
        <is>
          <t>Внутренние стены D600
200мм</t>
        </is>
      </c>
      <c r="G415" s="444" t="inlineStr">
        <is>
          <t>Пристройка К3-К4</t>
        </is>
      </c>
      <c r="H415" s="349" t="n"/>
      <c r="I415" s="349" t="n"/>
      <c r="J415" s="439" t="n"/>
      <c r="K415" s="351" t="inlineStr">
        <is>
          <t>Внутренняя стена из газобетонных
блоков, толщиной 200 мм, D600 на
клеевом растворе М100</t>
        </is>
      </c>
      <c r="L415" s="349" t="inlineStr">
        <is>
          <t>м3</t>
        </is>
      </c>
      <c r="M415" s="349" t="n">
        <v>16.72</v>
      </c>
      <c r="N415" s="349">
        <f>SUM(W415)</f>
        <v/>
      </c>
      <c r="O415" s="349" t="n"/>
      <c r="P415" s="349" t="n"/>
      <c r="Q415" s="429">
        <f>N415*V415+P415</f>
        <v/>
      </c>
      <c r="R415" s="349" t="inlineStr">
        <is>
          <t>м3</t>
        </is>
      </c>
      <c r="S415" s="349" t="n"/>
      <c r="T415" s="349" t="n"/>
      <c r="U415" s="349" t="inlineStr">
        <is>
          <t>СВ-1.2</t>
        </is>
      </c>
      <c r="V415" s="349" t="n">
        <v>1</v>
      </c>
      <c r="W415" s="349" t="n">
        <v>16.78</v>
      </c>
    </row>
    <row r="416">
      <c r="A416" s="471" t="n"/>
      <c r="B416" s="471" t="inlineStr">
        <is>
          <t>13АВ-РД-АР1.1-К3/К4</t>
        </is>
      </c>
      <c r="C416" s="67" t="inlineStr">
        <is>
          <t>21.01.2026)</t>
        </is>
      </c>
      <c r="D416" s="67" t="inlineStr">
        <is>
          <t>Кладка</t>
        </is>
      </c>
      <c r="E416" s="67" t="n"/>
      <c r="F416" s="471" t="inlineStr">
        <is>
          <t>Внутренние стены D600
200мм</t>
        </is>
      </c>
      <c r="G416" s="471" t="inlineStr">
        <is>
          <t>Пристройка К3-К4</t>
        </is>
      </c>
      <c r="H416" s="67" t="n"/>
      <c r="I416" s="67" t="n"/>
      <c r="J416" s="419" t="n"/>
      <c r="K416" s="563" t="inlineStr">
        <is>
          <t>Вертикалное примыкание к ЖБ стенам</t>
        </is>
      </c>
      <c r="L416" s="381" t="inlineStr">
        <is>
          <t>м.п.</t>
        </is>
      </c>
      <c r="M416" s="364" t="n">
        <v>0</v>
      </c>
      <c r="N416" s="364">
        <f>SUM(W416)</f>
        <v/>
      </c>
      <c r="O416" s="358" t="n">
        <v>0</v>
      </c>
      <c r="P416" s="358" t="n">
        <v>0</v>
      </c>
      <c r="Q416" s="364">
        <f>N416*V416+P416</f>
        <v/>
      </c>
      <c r="R416" s="358" t="inlineStr">
        <is>
          <t>м.п.</t>
        </is>
      </c>
      <c r="S416" s="67" t="n"/>
      <c r="T416" s="67" t="n"/>
      <c r="U416" s="563" t="inlineStr">
        <is>
          <t>Вертикалное примыкание к ЖБ стенам</t>
        </is>
      </c>
      <c r="V416" s="67" t="n">
        <v>1</v>
      </c>
      <c r="W416" s="67">
        <f>4*4.55</f>
        <v/>
      </c>
    </row>
    <row r="417">
      <c r="A417" s="375" t="n"/>
      <c r="B417" s="375" t="inlineStr">
        <is>
          <t>13АВ-РД-АР1.1-К3/К4</t>
        </is>
      </c>
      <c r="C417" s="67" t="inlineStr">
        <is>
          <t>21.01.2026)</t>
        </is>
      </c>
      <c r="D417" s="358" t="inlineStr">
        <is>
          <t>Кладка</t>
        </is>
      </c>
      <c r="E417" s="360" t="n"/>
      <c r="F417" s="471" t="inlineStr">
        <is>
          <t>Внутренние стены D600
200мм</t>
        </is>
      </c>
      <c r="G417" s="471" t="inlineStr">
        <is>
          <t>Пристройка К3-К4</t>
        </is>
      </c>
      <c r="H417" s="362" t="n"/>
      <c r="I417" s="362" t="n"/>
      <c r="J417" s="362" t="n"/>
      <c r="K417" s="376" t="inlineStr">
        <is>
          <t>Примыкание к плите перекрытия</t>
        </is>
      </c>
      <c r="L417" s="381" t="inlineStr">
        <is>
          <t>м.п.</t>
        </is>
      </c>
      <c r="M417" s="364" t="n">
        <v>0</v>
      </c>
      <c r="N417" s="364">
        <f>SUM(W417)</f>
        <v/>
      </c>
      <c r="O417" s="358" t="n">
        <v>0</v>
      </c>
      <c r="P417" s="358" t="n">
        <v>0</v>
      </c>
      <c r="Q417" s="364">
        <f>N417*V417+P417</f>
        <v/>
      </c>
      <c r="R417" s="358" t="inlineStr">
        <is>
          <t>м.п.</t>
        </is>
      </c>
      <c r="S417" s="360" t="n"/>
      <c r="T417" s="360" t="n"/>
      <c r="U417" s="375" t="inlineStr">
        <is>
          <t xml:space="preserve">Верхнее крепление газобетонных блоков СВ-1.2 к перекрытию </t>
        </is>
      </c>
      <c r="V417" s="364" t="n">
        <v>1</v>
      </c>
      <c r="W417" s="364" t="n">
        <v>19.2</v>
      </c>
    </row>
    <row r="418">
      <c r="A418" s="346" t="inlineStr">
        <is>
          <t>мат.</t>
        </is>
      </c>
      <c r="B418" s="346" t="inlineStr">
        <is>
          <t>13АВ-РД-АР1.1-К3/К4</t>
        </is>
      </c>
      <c r="C418" s="349" t="inlineStr">
        <is>
          <t>21.01.2026)</t>
        </is>
      </c>
      <c r="D418" s="349" t="inlineStr">
        <is>
          <t>Кладка</t>
        </is>
      </c>
      <c r="E418" s="349" t="inlineStr">
        <is>
          <t>БАЗА</t>
        </is>
      </c>
      <c r="F418" s="346" t="inlineStr">
        <is>
          <t>Внутренние стены D600
100мм</t>
        </is>
      </c>
      <c r="G418" s="444" t="inlineStr">
        <is>
          <t>Пристройка К3-К4</t>
        </is>
      </c>
      <c r="H418" s="349" t="n"/>
      <c r="I418" s="349" t="n"/>
      <c r="J418" s="439" t="n"/>
      <c r="K418" s="351" t="inlineStr">
        <is>
          <t>Внутренняя стена из газобетонных
блоков, толщиной 100мм, D600 на
клеевом растворе М100</t>
        </is>
      </c>
      <c r="L418" s="349" t="inlineStr">
        <is>
          <t>м3</t>
        </is>
      </c>
      <c r="M418" s="349" t="n">
        <v>6.04</v>
      </c>
      <c r="N418" s="349">
        <f>SUM(W418)</f>
        <v/>
      </c>
      <c r="O418" s="349" t="n"/>
      <c r="P418" s="349" t="n"/>
      <c r="Q418" s="429">
        <f>N418*V418+P418</f>
        <v/>
      </c>
      <c r="R418" s="349" t="inlineStr">
        <is>
          <t>м3</t>
        </is>
      </c>
      <c r="S418" s="349" t="n"/>
      <c r="T418" s="349" t="n"/>
      <c r="U418" s="349" t="inlineStr">
        <is>
          <t>СВ-1.4
(В РД ошибочно учтен объем К4)</t>
        </is>
      </c>
      <c r="V418" s="349" t="n">
        <v>1</v>
      </c>
      <c r="W418" s="349" t="n">
        <v>2.75</v>
      </c>
    </row>
    <row r="419">
      <c r="A419" s="471" t="n"/>
      <c r="B419" s="471" t="inlineStr">
        <is>
          <t>13АВ-РД-АР1.1-К3/К4</t>
        </is>
      </c>
      <c r="C419" s="67" t="inlineStr">
        <is>
          <t>21.01.2026)</t>
        </is>
      </c>
      <c r="D419" s="67" t="inlineStr">
        <is>
          <t>Кладка</t>
        </is>
      </c>
      <c r="E419" s="67" t="n"/>
      <c r="F419" s="471" t="inlineStr">
        <is>
          <t>Внутренние стены D600
100мм</t>
        </is>
      </c>
      <c r="G419" s="471" t="inlineStr">
        <is>
          <t>Пристройка К3-К4</t>
        </is>
      </c>
      <c r="H419" s="67" t="n"/>
      <c r="I419" s="67" t="n"/>
      <c r="J419" s="419" t="n"/>
      <c r="K419" s="563" t="inlineStr">
        <is>
          <t>Вертикалное примыкание к ЖБ стенам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67" t="n"/>
      <c r="T419" s="67" t="n"/>
      <c r="U419" s="563" t="inlineStr">
        <is>
          <t>Вертикалное примыкание к ЖБ стенам</t>
        </is>
      </c>
      <c r="V419" s="67" t="n">
        <v>1</v>
      </c>
      <c r="W419" s="67">
        <f>8*4.55</f>
        <v/>
      </c>
    </row>
    <row r="420">
      <c r="A420" s="375" t="n"/>
      <c r="B420" s="375" t="inlineStr">
        <is>
          <t>13АВ-РД-АР1.1-К3/К4</t>
        </is>
      </c>
      <c r="C420" s="67" t="inlineStr">
        <is>
          <t>21.01.2026)</t>
        </is>
      </c>
      <c r="D420" s="358" t="inlineStr">
        <is>
          <t>Кладка</t>
        </is>
      </c>
      <c r="E420" s="360" t="n"/>
      <c r="F420" s="471" t="inlineStr">
        <is>
          <t>Внутренние стены D600
100мм</t>
        </is>
      </c>
      <c r="G420" s="471" t="inlineStr">
        <is>
          <t>Пристройка К3-К4</t>
        </is>
      </c>
      <c r="H420" s="362" t="n"/>
      <c r="I420" s="362" t="n"/>
      <c r="J420" s="362" t="n"/>
      <c r="K420" s="376" t="inlineStr">
        <is>
          <t>Примыкание к плите перекрытия</t>
        </is>
      </c>
      <c r="L420" s="381" t="inlineStr">
        <is>
          <t>м.п.</t>
        </is>
      </c>
      <c r="M420" s="364" t="n">
        <v>0</v>
      </c>
      <c r="N420" s="364">
        <f>SUM(W420)</f>
        <v/>
      </c>
      <c r="O420" s="358" t="n">
        <v>0</v>
      </c>
      <c r="P420" s="358" t="n">
        <v>0</v>
      </c>
      <c r="Q420" s="364">
        <f>N420*V420+P420</f>
        <v/>
      </c>
      <c r="R420" s="358" t="inlineStr">
        <is>
          <t>м.п.</t>
        </is>
      </c>
      <c r="S420" s="360" t="n"/>
      <c r="T420" s="360" t="n"/>
      <c r="U420" s="375" t="inlineStr">
        <is>
          <t xml:space="preserve">Верхнее крепление газобетонных блоков СВ-1.4 к перекрытию </t>
        </is>
      </c>
      <c r="V420" s="364" t="n">
        <v>1</v>
      </c>
      <c r="W420" s="364">
        <f>1.42*3+1.6</f>
        <v/>
      </c>
    </row>
    <row r="421">
      <c r="A421" s="346" t="inlineStr">
        <is>
          <t>мат.</t>
        </is>
      </c>
      <c r="B421" s="346" t="inlineStr">
        <is>
          <t>13АВ-РД-АР1.1-К3/К4</t>
        </is>
      </c>
      <c r="C421" s="349" t="inlineStr">
        <is>
          <t>21.01.2026)</t>
        </is>
      </c>
      <c r="D421" s="349" t="inlineStr">
        <is>
          <t>Кладка</t>
        </is>
      </c>
      <c r="E421" s="349" t="inlineStr">
        <is>
          <t>БАЗА</t>
        </is>
      </c>
      <c r="F421" s="346" t="inlineStr">
        <is>
          <t>Внутренние стены D600
100мм
Трассировка</t>
        </is>
      </c>
      <c r="G421" s="444" t="inlineStr">
        <is>
          <t>Пристройка К3-К4</t>
        </is>
      </c>
      <c r="H421" s="349" t="n"/>
      <c r="I421" s="349" t="n"/>
      <c r="J421" s="439" t="n"/>
      <c r="K421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1" s="349" t="inlineStr">
        <is>
          <t>м3</t>
        </is>
      </c>
      <c r="M421" s="349" t="n">
        <v>5.08</v>
      </c>
      <c r="N421" s="349">
        <f>SUM(W421)</f>
        <v/>
      </c>
      <c r="O421" s="349" t="n"/>
      <c r="P421" s="349" t="n"/>
      <c r="Q421" s="429">
        <f>N421*V421+P421</f>
        <v/>
      </c>
      <c r="R421" s="349" t="inlineStr">
        <is>
          <t>м3</t>
        </is>
      </c>
      <c r="S421" s="349" t="n"/>
      <c r="T421" s="349" t="n"/>
      <c r="U421" s="349" t="inlineStr">
        <is>
          <t>СВ-1.5</t>
        </is>
      </c>
      <c r="V421" s="349" t="n">
        <v>1</v>
      </c>
      <c r="W421" s="349" t="n">
        <v>5.08</v>
      </c>
    </row>
    <row r="422">
      <c r="A422" s="471" t="n"/>
      <c r="B422" s="471" t="inlineStr">
        <is>
          <t>13АВ-РД-АР1.1-К3/К4</t>
        </is>
      </c>
      <c r="C422" s="67" t="inlineStr">
        <is>
          <t>21.01.2026)</t>
        </is>
      </c>
      <c r="D422" s="67" t="inlineStr">
        <is>
          <t>Кладка</t>
        </is>
      </c>
      <c r="E422" s="67" t="n"/>
      <c r="F422" s="471" t="inlineStr">
        <is>
          <t>Внутренние стены D600
100мм
Трассировка</t>
        </is>
      </c>
      <c r="G422" s="471" t="inlineStr">
        <is>
          <t>Пристройка К3-К4</t>
        </is>
      </c>
      <c r="H422" s="67" t="n"/>
      <c r="I422" s="67" t="n"/>
      <c r="J422" s="419" t="n"/>
      <c r="K422" s="563" t="inlineStr">
        <is>
          <t>Вертикалное примыкание к ЖБ стенам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67" t="n"/>
      <c r="T422" s="67" t="n"/>
      <c r="U422" s="563" t="inlineStr">
        <is>
          <t>Вертикалное примыкание к ЖБ стенам</t>
        </is>
      </c>
      <c r="V422" s="364" t="n">
        <v>1</v>
      </c>
      <c r="W422" s="364">
        <f>15*4.55</f>
        <v/>
      </c>
    </row>
    <row r="423">
      <c r="A423" s="375" t="n"/>
      <c r="B423" s="375" t="inlineStr">
        <is>
          <t>13АВ-РД-АР1.1-К3/К4</t>
        </is>
      </c>
      <c r="C423" s="67" t="inlineStr">
        <is>
          <t>21.01.2026)</t>
        </is>
      </c>
      <c r="D423" s="358" t="inlineStr">
        <is>
          <t>Кладка</t>
        </is>
      </c>
      <c r="E423" s="360" t="n"/>
      <c r="F423" s="471" t="inlineStr">
        <is>
          <t>Внутренние стены D600
100мм
Трассировка</t>
        </is>
      </c>
      <c r="G423" s="471" t="inlineStr">
        <is>
          <t>Пристройка К3-К4</t>
        </is>
      </c>
      <c r="H423" s="362" t="n"/>
      <c r="I423" s="362" t="n"/>
      <c r="J423" s="362" t="n"/>
      <c r="K423" s="376" t="inlineStr">
        <is>
          <t>Примыкание к плите перекрытия</t>
        </is>
      </c>
      <c r="L423" s="381" t="inlineStr">
        <is>
          <t>м.п.</t>
        </is>
      </c>
      <c r="M423" s="364" t="n">
        <v>0</v>
      </c>
      <c r="N423" s="364">
        <f>SUM(W423)</f>
        <v/>
      </c>
      <c r="O423" s="358" t="n">
        <v>0</v>
      </c>
      <c r="P423" s="358" t="n">
        <v>0</v>
      </c>
      <c r="Q423" s="364">
        <f>N423*V423+P423</f>
        <v/>
      </c>
      <c r="R423" s="358" t="inlineStr">
        <is>
          <t>м.п.</t>
        </is>
      </c>
      <c r="S423" s="360" t="n"/>
      <c r="T423" s="360" t="n"/>
      <c r="U423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3" s="364" t="n">
        <v>1</v>
      </c>
      <c r="W423" s="364" t="n">
        <v>0</v>
      </c>
    </row>
    <row r="424">
      <c r="A424" s="346" t="inlineStr">
        <is>
          <t>мат.</t>
        </is>
      </c>
      <c r="B424" s="346" t="inlineStr">
        <is>
          <t>13АВ-РД-АР1.1-К3/К4</t>
        </is>
      </c>
      <c r="C424" s="349" t="inlineStr">
        <is>
          <t>21.01.2026)</t>
        </is>
      </c>
      <c r="D424" s="349" t="inlineStr">
        <is>
          <t>Кладка</t>
        </is>
      </c>
      <c r="E424" s="349" t="inlineStr">
        <is>
          <t>БАЗА</t>
        </is>
      </c>
      <c r="F424" s="346" t="inlineStr">
        <is>
          <t>Наружные стены D600 300мм</t>
        </is>
      </c>
      <c r="G424" s="444" t="inlineStr">
        <is>
          <t>Пристройка К3-К4</t>
        </is>
      </c>
      <c r="H424" s="349" t="n"/>
      <c r="I424" s="349" t="n"/>
      <c r="J424" s="439" t="n"/>
      <c r="K424" s="351" t="inlineStr">
        <is>
          <t>Наружная стена из газобетонных
блоков, толщиной 300мм, D600 на
клеевом растворе М100</t>
        </is>
      </c>
      <c r="L424" s="349" t="inlineStr">
        <is>
          <t>м3</t>
        </is>
      </c>
      <c r="M424" s="349" t="n">
        <v>9.630000000000001</v>
      </c>
      <c r="N424" s="349">
        <f>SUM(W424)</f>
        <v/>
      </c>
      <c r="O424" s="349" t="n"/>
      <c r="P424" s="349" t="n"/>
      <c r="Q424" s="429">
        <f>N424*V424+P424</f>
        <v/>
      </c>
      <c r="R424" s="349" t="inlineStr">
        <is>
          <t>м3</t>
        </is>
      </c>
      <c r="S424" s="349" t="n"/>
      <c r="T424" s="349" t="n"/>
      <c r="U424" s="346" t="inlineStr">
        <is>
          <t>СН-1.1
(Объем стен со спецификации учтен в корпусе 4)</t>
        </is>
      </c>
      <c r="V424" s="349" t="n">
        <v>1</v>
      </c>
      <c r="W424" s="349" t="n">
        <v>0</v>
      </c>
    </row>
    <row r="425">
      <c r="A425" s="471" t="n"/>
      <c r="B425" s="471" t="inlineStr">
        <is>
          <t>13АВ-РД-АР1.1-К3/К4</t>
        </is>
      </c>
      <c r="C425" s="67" t="inlineStr">
        <is>
          <t>21.01.2026)</t>
        </is>
      </c>
      <c r="D425" s="67" t="inlineStr">
        <is>
          <t>Кладка</t>
        </is>
      </c>
      <c r="E425" s="67" t="n"/>
      <c r="F425" s="471" t="inlineStr">
        <is>
          <t>Наружные стены D600 300мм</t>
        </is>
      </c>
      <c r="G425" s="471" t="inlineStr">
        <is>
          <t>Пристройка К3-К4</t>
        </is>
      </c>
      <c r="H425" s="67" t="n"/>
      <c r="I425" s="67" t="n"/>
      <c r="J425" s="419" t="n"/>
      <c r="K425" s="563" t="inlineStr">
        <is>
          <t>Вертикалное примыкание к ЖБ стенам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67" t="n"/>
      <c r="T425" s="67" t="n"/>
      <c r="U425" s="563" t="inlineStr">
        <is>
          <t>Вертикалное примыкание к ЖБ стенам</t>
        </is>
      </c>
      <c r="V425" s="67" t="n">
        <v>1</v>
      </c>
      <c r="W425" s="67" t="n">
        <v>0</v>
      </c>
    </row>
    <row r="426">
      <c r="A426" s="375" t="n"/>
      <c r="B426" s="375" t="inlineStr">
        <is>
          <t>13АВ-РД-АР1.1-К3/К4</t>
        </is>
      </c>
      <c r="C426" s="67" t="inlineStr">
        <is>
          <t>21.01.2026)</t>
        </is>
      </c>
      <c r="D426" s="358" t="inlineStr">
        <is>
          <t>Кладка</t>
        </is>
      </c>
      <c r="E426" s="360" t="n"/>
      <c r="F426" s="378" t="inlineStr">
        <is>
          <t>Наружные стены D600 300мм</t>
        </is>
      </c>
      <c r="G426" s="471" t="inlineStr">
        <is>
          <t>Пристройка К3-К4</t>
        </is>
      </c>
      <c r="H426" s="362" t="n"/>
      <c r="I426" s="362" t="n"/>
      <c r="J426" s="362" t="n"/>
      <c r="K426" s="376" t="inlineStr">
        <is>
          <t>Примыкание к плите перекрытия</t>
        </is>
      </c>
      <c r="L426" s="381" t="inlineStr">
        <is>
          <t>м.п.</t>
        </is>
      </c>
      <c r="M426" s="364" t="n">
        <v>0</v>
      </c>
      <c r="N426" s="364">
        <f>SUM(W426)</f>
        <v/>
      </c>
      <c r="O426" s="358" t="n">
        <v>0</v>
      </c>
      <c r="P426" s="358" t="n">
        <v>0</v>
      </c>
      <c r="Q426" s="364">
        <f>N426*V426+P426</f>
        <v/>
      </c>
      <c r="R426" s="358" t="inlineStr">
        <is>
          <t>м.п.</t>
        </is>
      </c>
      <c r="S426" s="360" t="n"/>
      <c r="T426" s="360" t="n"/>
      <c r="U426" s="375" t="inlineStr">
        <is>
          <t xml:space="preserve">Верхнее крепление газобетонных блоков СН-1.1 к перекрытию </t>
        </is>
      </c>
      <c r="V426" s="364" t="n">
        <v>1</v>
      </c>
      <c r="W426" s="364" t="n">
        <v>0</v>
      </c>
    </row>
    <row r="427">
      <c r="A427" s="375" t="inlineStr">
        <is>
          <t>мат.</t>
        </is>
      </c>
      <c r="B427" s="375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358" t="inlineStr">
        <is>
          <t>БАЗА</t>
        </is>
      </c>
      <c r="F427" s="471" t="inlineStr">
        <is>
          <t>Перемычки</t>
        </is>
      </c>
      <c r="G427" s="471" t="inlineStr">
        <is>
          <t>Пристройка К3-К4</t>
        </is>
      </c>
      <c r="H427" s="362" t="n"/>
      <c r="I427" s="362" t="n"/>
      <c r="J427" s="362" t="n"/>
      <c r="K427" s="376" t="inlineStr">
        <is>
          <t xml:space="preserve"> Анкер-шпилька Hilti HST M 10х100</t>
        </is>
      </c>
      <c r="L427" s="67" t="inlineStr">
        <is>
          <t>шт</t>
        </is>
      </c>
      <c r="M427" s="364" t="n">
        <v>0</v>
      </c>
      <c r="N427" s="364" t="n">
        <v>0</v>
      </c>
      <c r="O427" s="358" t="n">
        <v>0</v>
      </c>
      <c r="P427" s="358" t="n">
        <v>0</v>
      </c>
      <c r="Q427" s="364">
        <f>N427*V427+P427</f>
        <v/>
      </c>
      <c r="R427" s="67" t="inlineStr">
        <is>
          <t>т</t>
        </is>
      </c>
      <c r="S427" s="67" t="n"/>
      <c r="T427" s="67" t="n"/>
      <c r="U427" s="471" t="inlineStr">
        <is>
          <t>ПР-1.1, ПР-1.2, ПР-1.3, ПР-1.5, ПР-1.6
(Объем стен со спецификации учтен в корпусе 4)</t>
        </is>
      </c>
      <c r="V427" s="364" t="n">
        <v>1</v>
      </c>
      <c r="W427" s="364" t="n">
        <v>0</v>
      </c>
    </row>
    <row r="428">
      <c r="A428" s="375" t="inlineStr">
        <is>
          <t>мат.</t>
        </is>
      </c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58" t="inlineStr">
        <is>
          <t>БАЗА</t>
        </is>
      </c>
      <c r="F428" s="471" t="inlineStr">
        <is>
          <t>Перемычки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Пластина 50х4 (L=230мм)</t>
        </is>
      </c>
      <c r="L428" s="67" t="inlineStr">
        <is>
          <t>т</t>
        </is>
      </c>
      <c r="M428" s="364" t="n">
        <v>0</v>
      </c>
      <c r="N428" s="364" t="n">
        <v>0</v>
      </c>
      <c r="O428" s="358" t="n">
        <v>0</v>
      </c>
      <c r="P428" s="358" t="n">
        <v>0</v>
      </c>
      <c r="Q428" s="364">
        <f>N428*V428+P428</f>
        <v/>
      </c>
      <c r="R428" s="67" t="inlineStr">
        <is>
          <t>т</t>
        </is>
      </c>
      <c r="S428" s="67" t="n"/>
      <c r="T428" s="67" t="n"/>
      <c r="U428" s="471" t="inlineStr">
        <is>
          <t>ПР-1.1, ПР-1.2, ПР-1.3, ПР-1.5, ПР-1.6
(Объем стен со спецификации учтен в корпусе 4)</t>
        </is>
      </c>
      <c r="V428" s="527" t="n">
        <v>0.001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Уголок 75х5 (L=1960мм)</t>
        </is>
      </c>
      <c r="L429" s="67" t="inlineStr">
        <is>
          <t>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W429*V429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527" t="n">
        <v>0.001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 xml:space="preserve"> Уголок 80х6 (L=250мм) 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W430*V430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46" t="inlineStr">
        <is>
          <t>мат.</t>
        </is>
      </c>
      <c r="B431" s="346" t="inlineStr">
        <is>
          <t>13АВ-РД-АР1.1-К3/К4</t>
        </is>
      </c>
      <c r="C431" s="349" t="inlineStr">
        <is>
          <t>21.01.2026)</t>
        </is>
      </c>
      <c r="D431" s="349" t="inlineStr">
        <is>
          <t>Кладка</t>
        </is>
      </c>
      <c r="E431" s="349" t="inlineStr">
        <is>
          <t>БАЗА</t>
        </is>
      </c>
      <c r="F431" s="346" t="inlineStr">
        <is>
          <t>Наружные стены D600 250мм</t>
        </is>
      </c>
      <c r="G431" s="444" t="inlineStr">
        <is>
          <t>Пристройка К3-К4</t>
        </is>
      </c>
      <c r="H431" s="349" t="n"/>
      <c r="I431" s="349" t="n"/>
      <c r="J431" s="439" t="n"/>
      <c r="K431" s="351" t="inlineStr">
        <is>
          <t>Наружная стена из газобетонных
блоков, толщиной 250мм, D600 на
клеевом растворе М100</t>
        </is>
      </c>
      <c r="L431" s="349" t="inlineStr">
        <is>
          <t>м3</t>
        </is>
      </c>
      <c r="M431" s="349" t="n">
        <v>9.970000000000001</v>
      </c>
      <c r="N431" s="349">
        <f>SUM(W431)</f>
        <v/>
      </c>
      <c r="O431" s="349" t="n"/>
      <c r="P431" s="349" t="n"/>
      <c r="Q431" s="429">
        <f>N431*V431+P431</f>
        <v/>
      </c>
      <c r="R431" s="349" t="inlineStr">
        <is>
          <t>м3</t>
        </is>
      </c>
      <c r="S431" s="349" t="n"/>
      <c r="T431" s="349" t="n"/>
      <c r="U431" s="346" t="inlineStr">
        <is>
          <t>СН-1.2
(Объем стен со спецификации учтен в корпусе 4)</t>
        </is>
      </c>
      <c r="V431" s="349" t="n">
        <v>1</v>
      </c>
      <c r="W431" s="349" t="n">
        <v>0</v>
      </c>
    </row>
    <row r="432">
      <c r="A432" s="471" t="n"/>
      <c r="B432" s="471" t="inlineStr">
        <is>
          <t>13АВ-РД-АР1.1-К3/К4</t>
        </is>
      </c>
      <c r="C432" s="67" t="inlineStr">
        <is>
          <t>21.01.2026)</t>
        </is>
      </c>
      <c r="D432" s="67" t="inlineStr">
        <is>
          <t>Кладка</t>
        </is>
      </c>
      <c r="E432" s="67" t="n"/>
      <c r="F432" s="471" t="inlineStr">
        <is>
          <t>Наружные стены D600 250мм</t>
        </is>
      </c>
      <c r="G432" s="471" t="inlineStr">
        <is>
          <t>Пристройка К3-К4</t>
        </is>
      </c>
      <c r="H432" s="67" t="n"/>
      <c r="I432" s="67" t="n"/>
      <c r="J432" s="419" t="n"/>
      <c r="K432" s="563" t="inlineStr">
        <is>
          <t>Вертикалное примыкание к ЖБ стенам</t>
        </is>
      </c>
      <c r="L432" s="381" t="inlineStr">
        <is>
          <t>м.п.</t>
        </is>
      </c>
      <c r="M432" s="364" t="n">
        <v>0</v>
      </c>
      <c r="N432" s="364">
        <f>SUM(W432)</f>
        <v/>
      </c>
      <c r="O432" s="358" t="n">
        <v>0</v>
      </c>
      <c r="P432" s="358" t="n">
        <v>0</v>
      </c>
      <c r="Q432" s="364">
        <f>N432*V432+P432</f>
        <v/>
      </c>
      <c r="R432" s="358" t="inlineStr">
        <is>
          <t>м.п.</t>
        </is>
      </c>
      <c r="S432" s="67" t="n"/>
      <c r="T432" s="67" t="n"/>
      <c r="U432" s="563" t="inlineStr">
        <is>
          <t>Вертикалное примыкание к ЖБ стенам</t>
        </is>
      </c>
      <c r="V432" s="67" t="n">
        <v>1</v>
      </c>
      <c r="W432" s="67" t="n">
        <v>0</v>
      </c>
    </row>
    <row r="433">
      <c r="A433" s="375" t="n"/>
      <c r="B433" s="375" t="inlineStr">
        <is>
          <t>13АВ-РД-АР1.1-К3/К4</t>
        </is>
      </c>
      <c r="C433" s="67" t="inlineStr">
        <is>
          <t>21.01.2026)</t>
        </is>
      </c>
      <c r="D433" s="358" t="inlineStr">
        <is>
          <t>Кладка</t>
        </is>
      </c>
      <c r="E433" s="360" t="n"/>
      <c r="F433" s="378" t="inlineStr">
        <is>
          <t>Наружные стены D600 250мм</t>
        </is>
      </c>
      <c r="G433" s="471" t="inlineStr">
        <is>
          <t>Пристройка К3-К4</t>
        </is>
      </c>
      <c r="H433" s="362" t="n"/>
      <c r="I433" s="362" t="n"/>
      <c r="J433" s="362" t="n"/>
      <c r="K433" s="376" t="inlineStr">
        <is>
          <t>Примыкание к плите перекрытия</t>
        </is>
      </c>
      <c r="L433" s="381" t="inlineStr">
        <is>
          <t>м.п.</t>
        </is>
      </c>
      <c r="M433" s="364" t="n">
        <v>0</v>
      </c>
      <c r="N433" s="364">
        <f>SUM(W433)</f>
        <v/>
      </c>
      <c r="O433" s="358" t="n">
        <v>0</v>
      </c>
      <c r="P433" s="358" t="n">
        <v>0</v>
      </c>
      <c r="Q433" s="364">
        <f>N433*V433+P433</f>
        <v/>
      </c>
      <c r="R433" s="358" t="inlineStr">
        <is>
          <t>м.п.</t>
        </is>
      </c>
      <c r="S433" s="360" t="n"/>
      <c r="T433" s="360" t="n"/>
      <c r="U433" s="375" t="inlineStr">
        <is>
          <t xml:space="preserve">Верхнее крепление газобетонных блоков СН-1.2 к перекрытию </t>
        </is>
      </c>
      <c r="V433" s="364" t="n">
        <v>1</v>
      </c>
      <c r="W433" s="364" t="n">
        <v>0</v>
      </c>
    </row>
    <row r="434">
      <c r="A434" s="152" t="n"/>
      <c r="B434" s="152" t="n"/>
      <c r="C434" s="452" t="n"/>
      <c r="D434" s="452" t="n"/>
      <c r="E434" s="452" t="n"/>
      <c r="F434" s="152" t="n"/>
      <c r="G434" s="1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</row>
    <row r="435">
      <c r="A435" s="152" t="n"/>
      <c r="B435" s="152" t="n"/>
      <c r="C435" s="452" t="n"/>
      <c r="D435" s="452" t="n"/>
      <c r="E435" s="452" t="n"/>
      <c r="F435" s="152" t="n"/>
      <c r="G435" s="1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W520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6.87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16.78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n"/>
      <c r="B14" s="346" t="n"/>
      <c r="C14" s="349" t="n"/>
      <c r="D14" s="349" t="n"/>
      <c r="E14" s="349" t="n"/>
      <c r="F14" s="346" t="n"/>
      <c r="G14" s="444" t="n"/>
      <c r="H14" s="349" t="n"/>
      <c r="I14" s="349" t="n"/>
      <c r="J14" s="439" t="n"/>
      <c r="K14" s="351" t="n"/>
      <c r="L14" s="349" t="n"/>
      <c r="M14" s="349" t="n"/>
      <c r="N14" s="349" t="n"/>
      <c r="O14" s="349" t="n"/>
      <c r="P14" s="349" t="n"/>
      <c r="Q14" s="429" t="n"/>
      <c r="R14" s="349" t="n"/>
      <c r="S14" s="349" t="n"/>
      <c r="T14" s="349" t="n"/>
      <c r="U14" s="349" t="n"/>
      <c r="V14" s="349" t="n"/>
      <c r="W14" s="349" t="n"/>
    </row>
    <row r="15">
      <c r="A15" s="471" t="n"/>
      <c r="B15" s="471" t="n"/>
      <c r="C15" s="67" t="n"/>
      <c r="D15" s="67" t="n"/>
      <c r="E15" s="67" t="n"/>
      <c r="F15" s="471" t="n"/>
      <c r="G15" s="471" t="n"/>
      <c r="H15" s="67" t="n"/>
      <c r="I15" s="67" t="n"/>
      <c r="J15" s="419" t="n"/>
      <c r="K15" s="563" t="n"/>
      <c r="L15" s="381" t="n"/>
      <c r="M15" s="364" t="n"/>
      <c r="N15" s="364" t="n"/>
      <c r="O15" s="358" t="n"/>
      <c r="P15" s="358" t="n"/>
      <c r="Q15" s="364" t="n"/>
      <c r="R15" s="358" t="n"/>
      <c r="S15" s="67" t="n"/>
      <c r="T15" s="67" t="n"/>
      <c r="U15" s="563" t="n"/>
      <c r="V15" s="67" t="n"/>
      <c r="W15" s="67" t="n"/>
    </row>
    <row r="16">
      <c r="A16" s="375" t="n"/>
      <c r="B16" s="375" t="n"/>
      <c r="C16" s="67" t="n"/>
      <c r="D16" s="358" t="n"/>
      <c r="E16" s="360" t="n"/>
      <c r="F16" s="471" t="n"/>
      <c r="G16" s="471" t="n"/>
      <c r="H16" s="362" t="n"/>
      <c r="I16" s="362" t="n"/>
      <c r="J16" s="362" t="n"/>
      <c r="K16" s="376" t="n"/>
      <c r="L16" s="381" t="n"/>
      <c r="M16" s="364" t="n"/>
      <c r="N16" s="364" t="n"/>
      <c r="O16" s="358" t="n"/>
      <c r="P16" s="358" t="n"/>
      <c r="Q16" s="364" t="n"/>
      <c r="R16" s="358" t="n"/>
      <c r="S16" s="360" t="n"/>
      <c r="T16" s="360" t="n"/>
      <c r="U16" s="375" t="n"/>
      <c r="V16" s="364" t="n"/>
      <c r="W16" s="364" t="n"/>
    </row>
    <row r="17">
      <c r="A17" s="346" t="n"/>
      <c r="B17" s="346" t="n"/>
      <c r="C17" s="349" t="n"/>
      <c r="D17" s="349" t="n"/>
      <c r="E17" s="349" t="n"/>
      <c r="F17" s="346" t="n"/>
      <c r="G17" s="444" t="n"/>
      <c r="H17" s="349" t="n"/>
      <c r="I17" s="349" t="n"/>
      <c r="J17" s="439" t="n"/>
      <c r="K17" s="351" t="n"/>
      <c r="L17" s="349" t="n"/>
      <c r="M17" s="349" t="n"/>
      <c r="N17" s="349" t="n"/>
      <c r="O17" s="349" t="n"/>
      <c r="P17" s="349" t="n"/>
      <c r="Q17" s="429" t="n"/>
      <c r="R17" s="349" t="n"/>
      <c r="S17" s="349" t="n"/>
      <c r="T17" s="349" t="n"/>
      <c r="U17" s="349" t="n"/>
      <c r="V17" s="349" t="n"/>
      <c r="W17" s="349" t="n"/>
    </row>
    <row r="18">
      <c r="A18" s="471" t="n"/>
      <c r="B18" s="471" t="n"/>
      <c r="C18" s="67" t="n"/>
      <c r="D18" s="67" t="n"/>
      <c r="E18" s="67" t="n"/>
      <c r="F18" s="471" t="n"/>
      <c r="G18" s="471" t="n"/>
      <c r="H18" s="67" t="n"/>
      <c r="I18" s="67" t="n"/>
      <c r="J18" s="419" t="n"/>
      <c r="K18" s="563" t="n"/>
      <c r="L18" s="381" t="n"/>
      <c r="M18" s="364" t="n"/>
      <c r="N18" s="364" t="n"/>
      <c r="O18" s="358" t="n"/>
      <c r="P18" s="358" t="n"/>
      <c r="Q18" s="364" t="n"/>
      <c r="R18" s="358" t="n"/>
      <c r="S18" s="67" t="n"/>
      <c r="T18" s="67" t="n"/>
      <c r="U18" s="563" t="n"/>
      <c r="V18" s="364" t="n"/>
      <c r="W18" s="364" t="n"/>
    </row>
    <row r="19">
      <c r="A19" s="375" t="n"/>
      <c r="B19" s="375" t="n"/>
      <c r="C19" s="67" t="n"/>
      <c r="D19" s="358" t="n"/>
      <c r="E19" s="360" t="n"/>
      <c r="F19" s="471" t="n"/>
      <c r="G19" s="471" t="n"/>
      <c r="H19" s="362" t="n"/>
      <c r="I19" s="362" t="n"/>
      <c r="J19" s="362" t="n"/>
      <c r="K19" s="376" t="n"/>
      <c r="L19" s="381" t="n"/>
      <c r="M19" s="364" t="n"/>
      <c r="N19" s="364" t="n"/>
      <c r="O19" s="358" t="n"/>
      <c r="P19" s="358" t="n"/>
      <c r="Q19" s="364" t="n"/>
      <c r="R19" s="358" t="n"/>
      <c r="S19" s="360" t="n"/>
      <c r="T19" s="360" t="n"/>
      <c r="U19" s="375" t="n"/>
      <c r="V19" s="364" t="n"/>
      <c r="W19" s="364" t="n"/>
    </row>
    <row r="20">
      <c r="A20" s="346" t="n"/>
      <c r="B20" s="346" t="n"/>
      <c r="C20" s="349" t="n"/>
      <c r="D20" s="349" t="n"/>
      <c r="E20" s="349" t="n"/>
      <c r="F20" s="346" t="n"/>
      <c r="G20" s="444" t="n"/>
      <c r="H20" s="349" t="n"/>
      <c r="I20" s="349" t="n"/>
      <c r="J20" s="439" t="n"/>
      <c r="K20" s="351" t="n"/>
      <c r="L20" s="349" t="n"/>
      <c r="M20" s="349" t="n"/>
      <c r="N20" s="349" t="n"/>
      <c r="O20" s="349" t="n"/>
      <c r="P20" s="349" t="n"/>
      <c r="Q20" s="429" t="n"/>
      <c r="R20" s="349" t="n"/>
      <c r="S20" s="349" t="n"/>
      <c r="T20" s="349" t="n"/>
      <c r="U20" s="346" t="n"/>
      <c r="V20" s="349" t="n"/>
      <c r="W20" s="349" t="n"/>
    </row>
    <row r="21">
      <c r="A21" s="471" t="n"/>
      <c r="B21" s="471" t="n"/>
      <c r="C21" s="67" t="n"/>
      <c r="D21" s="67" t="n"/>
      <c r="E21" s="67" t="n"/>
      <c r="F21" s="471" t="n"/>
      <c r="G21" s="471" t="n"/>
      <c r="H21" s="67" t="n"/>
      <c r="I21" s="67" t="n"/>
      <c r="J21" s="419" t="n"/>
      <c r="K21" s="563" t="n"/>
      <c r="L21" s="381" t="n"/>
      <c r="M21" s="364" t="n"/>
      <c r="N21" s="364" t="n"/>
      <c r="O21" s="358" t="n"/>
      <c r="P21" s="358" t="n"/>
      <c r="Q21" s="364" t="n"/>
      <c r="R21" s="358" t="n"/>
      <c r="S21" s="67" t="n"/>
      <c r="T21" s="67" t="n"/>
      <c r="U21" s="563" t="n"/>
      <c r="V21" s="67" t="n"/>
      <c r="W21" s="67" t="n"/>
    </row>
    <row r="22">
      <c r="A22" s="375" t="n"/>
      <c r="B22" s="375" t="n"/>
      <c r="C22" s="67" t="n"/>
      <c r="D22" s="358" t="n"/>
      <c r="E22" s="360" t="n"/>
      <c r="F22" s="378" t="n"/>
      <c r="G22" s="471" t="n"/>
      <c r="H22" s="362" t="n"/>
      <c r="I22" s="362" t="n"/>
      <c r="J22" s="362" t="n"/>
      <c r="K22" s="376" t="n"/>
      <c r="L22" s="381" t="n"/>
      <c r="M22" s="364" t="n"/>
      <c r="N22" s="364" t="n"/>
      <c r="O22" s="358" t="n"/>
      <c r="P22" s="358" t="n"/>
      <c r="Q22" s="364" t="n"/>
      <c r="R22" s="358" t="n"/>
      <c r="S22" s="360" t="n"/>
      <c r="T22" s="360" t="n"/>
      <c r="U22" s="375" t="n"/>
      <c r="V22" s="364" t="n"/>
      <c r="W22" s="364" t="n"/>
    </row>
    <row r="23">
      <c r="A23" s="375" t="n"/>
      <c r="B23" s="375" t="n"/>
      <c r="C23" s="67" t="n"/>
      <c r="D23" s="67" t="n"/>
      <c r="E23" s="358" t="n"/>
      <c r="F23" s="471" t="n"/>
      <c r="G23" s="471" t="n"/>
      <c r="H23" s="362" t="n"/>
      <c r="I23" s="362" t="n"/>
      <c r="J23" s="362" t="n"/>
      <c r="K23" s="376" t="n"/>
      <c r="L23" s="67" t="n"/>
      <c r="M23" s="364" t="n"/>
      <c r="N23" s="364" t="n"/>
      <c r="O23" s="358" t="n"/>
      <c r="P23" s="358" t="n"/>
      <c r="Q23" s="364" t="n"/>
      <c r="R23" s="67" t="n"/>
      <c r="S23" s="67" t="n"/>
      <c r="T23" s="67" t="n"/>
      <c r="U23" s="471" t="n"/>
      <c r="V23" s="364" t="n"/>
      <c r="W23" s="364" t="n"/>
    </row>
    <row r="24">
      <c r="A24" s="375" t="n"/>
      <c r="B24" s="375" t="n"/>
      <c r="C24" s="67" t="n"/>
      <c r="D24" s="358" t="n"/>
      <c r="E24" s="358" t="n"/>
      <c r="F24" s="471" t="n"/>
      <c r="G24" s="471" t="n"/>
      <c r="H24" s="362" t="n"/>
      <c r="I24" s="362" t="n"/>
      <c r="J24" s="362" t="n"/>
      <c r="K24" s="376" t="n"/>
      <c r="L24" s="67" t="n"/>
      <c r="M24" s="364" t="n"/>
      <c r="N24" s="364" t="n"/>
      <c r="O24" s="358" t="n"/>
      <c r="P24" s="358" t="n"/>
      <c r="Q24" s="364" t="n"/>
      <c r="R24" s="67" t="n"/>
      <c r="S24" s="67" t="n"/>
      <c r="T24" s="67" t="n"/>
      <c r="U24" s="471" t="n"/>
      <c r="V24" s="527" t="n"/>
      <c r="W24" s="364" t="n"/>
    </row>
    <row r="25">
      <c r="A25" s="375" t="n"/>
      <c r="B25" s="375" t="n"/>
      <c r="C25" s="67" t="n"/>
      <c r="D25" s="67" t="n"/>
      <c r="E25" s="358" t="n"/>
      <c r="F25" s="471" t="n"/>
      <c r="G25" s="471" t="n"/>
      <c r="H25" s="362" t="n"/>
      <c r="I25" s="362" t="n"/>
      <c r="J25" s="362" t="n"/>
      <c r="K25" s="376" t="n"/>
      <c r="L25" s="67" t="n"/>
      <c r="M25" s="364" t="n"/>
      <c r="N25" s="364" t="n"/>
      <c r="O25" s="358" t="n"/>
      <c r="P25" s="358" t="n"/>
      <c r="Q25" s="364" t="n"/>
      <c r="R25" s="67" t="n"/>
      <c r="S25" s="67" t="n"/>
      <c r="T25" s="67" t="n"/>
      <c r="U25" s="471" t="n"/>
      <c r="V25" s="527" t="n"/>
      <c r="W25" s="364" t="n"/>
    </row>
    <row r="26">
      <c r="A26" s="375" t="n"/>
      <c r="B26" s="375" t="n"/>
      <c r="C26" s="67" t="n"/>
      <c r="D26" s="358" t="n"/>
      <c r="E26" s="358" t="n"/>
      <c r="F26" s="471" t="n"/>
      <c r="G26" s="471" t="n"/>
      <c r="H26" s="362" t="n"/>
      <c r="I26" s="362" t="n"/>
      <c r="J26" s="362" t="n"/>
      <c r="K26" s="376" t="n"/>
      <c r="L26" s="67" t="n"/>
      <c r="M26" s="364" t="n"/>
      <c r="N26" s="364" t="n"/>
      <c r="O26" s="358" t="n"/>
      <c r="P26" s="358" t="n"/>
      <c r="Q26" s="364" t="n"/>
      <c r="R26" s="67" t="n"/>
      <c r="S26" s="67" t="n"/>
      <c r="T26" s="67" t="n"/>
      <c r="U26" s="471" t="n"/>
      <c r="V26" s="527" t="n"/>
      <c r="W26" s="364" t="n"/>
    </row>
    <row r="27">
      <c r="A27" s="346" t="n"/>
      <c r="B27" s="346" t="n"/>
      <c r="C27" s="349" t="n"/>
      <c r="D27" s="349" t="n"/>
      <c r="E27" s="349" t="n"/>
      <c r="F27" s="346" t="n"/>
      <c r="G27" s="444" t="n"/>
      <c r="H27" s="349" t="n"/>
      <c r="I27" s="349" t="n"/>
      <c r="J27" s="439" t="n"/>
      <c r="K27" s="351" t="n"/>
      <c r="L27" s="349" t="n"/>
      <c r="M27" s="349" t="n"/>
      <c r="N27" s="349" t="n"/>
      <c r="O27" s="349" t="n"/>
      <c r="P27" s="349" t="n"/>
      <c r="Q27" s="429" t="n"/>
      <c r="R27" s="349" t="n"/>
      <c r="S27" s="349" t="n"/>
      <c r="T27" s="349" t="n"/>
      <c r="U27" s="346" t="n"/>
      <c r="V27" s="349" t="n"/>
      <c r="W27" s="349" t="n"/>
    </row>
    <row r="28">
      <c r="A28" s="471" t="n"/>
      <c r="B28" s="471" t="n"/>
      <c r="C28" s="67" t="n"/>
      <c r="D28" s="67" t="n"/>
      <c r="E28" s="67" t="n"/>
      <c r="F28" s="471" t="n"/>
      <c r="G28" s="471" t="n"/>
      <c r="H28" s="67" t="n"/>
      <c r="I28" s="67" t="n"/>
      <c r="J28" s="419" t="n"/>
      <c r="K28" s="563" t="n"/>
      <c r="L28" s="381" t="n"/>
      <c r="M28" s="364" t="n"/>
      <c r="N28" s="364" t="n"/>
      <c r="O28" s="358" t="n"/>
      <c r="P28" s="358" t="n"/>
      <c r="Q28" s="364" t="n"/>
      <c r="R28" s="358" t="n"/>
      <c r="S28" s="67" t="n"/>
      <c r="T28" s="67" t="n"/>
      <c r="U28" s="563" t="n"/>
      <c r="V28" s="67" t="n"/>
      <c r="W28" s="67" t="n"/>
    </row>
    <row r="29">
      <c r="A29" s="375" t="n"/>
      <c r="B29" s="375" t="n"/>
      <c r="C29" s="67" t="n"/>
      <c r="D29" s="358" t="n"/>
      <c r="E29" s="360" t="n"/>
      <c r="F29" s="378" t="n"/>
      <c r="G29" s="471" t="n"/>
      <c r="H29" s="362" t="n"/>
      <c r="I29" s="362" t="n"/>
      <c r="J29" s="362" t="n"/>
      <c r="K29" s="376" t="n"/>
      <c r="L29" s="381" t="n"/>
      <c r="M29" s="364" t="n"/>
      <c r="N29" s="364" t="n"/>
      <c r="O29" s="358" t="n"/>
      <c r="P29" s="358" t="n"/>
      <c r="Q29" s="364" t="n"/>
      <c r="R29" s="358" t="n"/>
      <c r="S29" s="360" t="n"/>
      <c r="T29" s="360" t="n"/>
      <c r="U29" s="375" t="n"/>
      <c r="V29" s="364" t="n"/>
      <c r="W29" s="364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113">
      <c r="A113" s="152" t="n"/>
      <c r="B113" s="152" t="n"/>
      <c r="C113" s="452" t="n"/>
      <c r="D113" s="452" t="n"/>
      <c r="E113" s="452" t="n"/>
      <c r="F113" s="152" t="n"/>
      <c r="G113" s="152" t="n"/>
      <c r="H113" s="452" t="n"/>
      <c r="I113" s="452" t="n"/>
      <c r="J113" s="452" t="n"/>
      <c r="K113" s="152" t="n"/>
      <c r="L113" s="452" t="n"/>
      <c r="M113" s="452" t="n"/>
      <c r="N113" s="452" t="n"/>
      <c r="O113" s="452" t="n"/>
      <c r="P113" s="452" t="n"/>
      <c r="Q113" s="452" t="n"/>
      <c r="R113" s="452" t="n"/>
      <c r="S113" s="452" t="n"/>
      <c r="T113" s="452" t="n"/>
      <c r="U113" s="452" t="n"/>
      <c r="V113" s="452" t="n"/>
      <c r="W113" s="452" t="n"/>
    </row>
    <row r="114">
      <c r="A114" s="152" t="n"/>
      <c r="B114" s="152" t="n"/>
      <c r="C114" s="452" t="n"/>
      <c r="D114" s="452" t="n"/>
      <c r="E114" s="452" t="n"/>
      <c r="F114" s="152" t="n"/>
      <c r="G114" s="152" t="n"/>
      <c r="H114" s="452" t="n"/>
      <c r="I114" s="452" t="n"/>
      <c r="J114" s="452" t="n"/>
      <c r="K114" s="152" t="n"/>
      <c r="L114" s="452" t="n"/>
      <c r="M114" s="452" t="n"/>
      <c r="N114" s="452" t="n"/>
      <c r="O114" s="452" t="n"/>
      <c r="P114" s="452" t="n"/>
      <c r="Q114" s="452" t="n"/>
      <c r="R114" s="452" t="n"/>
      <c r="S114" s="452" t="n"/>
      <c r="T114" s="452" t="n"/>
      <c r="U114" s="452" t="n"/>
      <c r="V114" s="452" t="n"/>
      <c r="W114" s="452" t="n"/>
    </row>
    <row r="407">
      <c r="A407" s="524" t="inlineStr">
        <is>
          <t>Р</t>
        </is>
      </c>
      <c r="B407" s="524" t="inlineStr">
        <is>
          <t>Р</t>
        </is>
      </c>
      <c r="C407" s="524" t="inlineStr">
        <is>
          <t>Р</t>
        </is>
      </c>
      <c r="D407" s="524" t="inlineStr">
        <is>
          <t>Р</t>
        </is>
      </c>
      <c r="E407" s="524" t="inlineStr">
        <is>
          <t>Р</t>
        </is>
      </c>
      <c r="F407" s="524" t="inlineStr">
        <is>
          <t>Р</t>
        </is>
      </c>
      <c r="G407" s="524" t="inlineStr">
        <is>
          <t>Р</t>
        </is>
      </c>
      <c r="H407" s="524" t="inlineStr">
        <is>
          <t>С</t>
        </is>
      </c>
      <c r="I407" s="524" t="inlineStr">
        <is>
          <t>С</t>
        </is>
      </c>
      <c r="J407" s="524" t="inlineStr">
        <is>
          <t>Р</t>
        </is>
      </c>
      <c r="K407" s="524" t="inlineStr">
        <is>
          <t>Р</t>
        </is>
      </c>
      <c r="L407" s="524" t="inlineStr">
        <is>
          <t>Р</t>
        </is>
      </c>
      <c r="M407" s="524" t="inlineStr">
        <is>
          <t>Р</t>
        </is>
      </c>
      <c r="N407" s="524" t="inlineStr">
        <is>
          <t>Р</t>
        </is>
      </c>
      <c r="O407" s="524" t="inlineStr">
        <is>
          <t>Р</t>
        </is>
      </c>
      <c r="P407" s="524" t="inlineStr">
        <is>
          <t>Р</t>
        </is>
      </c>
      <c r="Q407" s="524" t="inlineStr">
        <is>
          <t>Р</t>
        </is>
      </c>
      <c r="R407" s="524" t="inlineStr">
        <is>
          <t>Р</t>
        </is>
      </c>
      <c r="S407" s="524" t="inlineStr">
        <is>
          <t>С</t>
        </is>
      </c>
      <c r="T407" s="524" t="inlineStr">
        <is>
          <t>С</t>
        </is>
      </c>
      <c r="U407" s="524" t="inlineStr">
        <is>
          <t>Р</t>
        </is>
      </c>
      <c r="V407" s="340" t="inlineStr">
        <is>
          <t>Р</t>
        </is>
      </c>
      <c r="W407" s="340" t="inlineStr">
        <is>
          <t>Р</t>
        </is>
      </c>
    </row>
    <row r="408">
      <c r="A408" s="524" t="inlineStr">
        <is>
          <t>Поз.</t>
        </is>
      </c>
      <c r="B408" s="524" t="inlineStr">
        <is>
          <t>Шифр проекта</t>
        </is>
      </c>
      <c r="C408" s="524" t="inlineStr">
        <is>
          <t>Дата выдачи РД или ИЗМа</t>
        </is>
      </c>
      <c r="D408" s="524" t="inlineStr">
        <is>
          <t>Система</t>
        </is>
      </c>
      <c r="E408" s="524" t="inlineStr">
        <is>
          <t>Указать базовый материал</t>
        </is>
      </c>
      <c r="F408" s="524" t="inlineStr">
        <is>
          <t>Вид работ</t>
        </is>
      </c>
      <c r="G408" s="524" t="inlineStr">
        <is>
          <t xml:space="preserve">Корпус </t>
        </is>
      </c>
      <c r="H408" s="524" t="inlineStr">
        <is>
          <t xml:space="preserve">Наименование Работ </t>
        </is>
      </c>
      <c r="I408" s="524" t="inlineStr">
        <is>
          <t>Ед. изм. работ</t>
        </is>
      </c>
      <c r="J408" s="524" t="inlineStr">
        <is>
          <t>Объем работ</t>
        </is>
      </c>
      <c r="K408" s="524" t="inlineStr">
        <is>
          <t>Наuменованuе u mехнuческая xapaкmepucmuкa</t>
        </is>
      </c>
      <c r="L408" s="524" t="inlineStr">
        <is>
          <t>Ед. изм. (РД)</t>
        </is>
      </c>
      <c r="M408" s="524" t="inlineStr">
        <is>
          <t>Кол-во по проекту (последняя версия)</t>
        </is>
      </c>
      <c r="N408" s="524" t="inlineStr">
        <is>
          <t>Итого в смету (в ед.изм РД)</t>
        </is>
      </c>
      <c r="O408" s="341" t="inlineStr">
        <is>
          <t>Добавлено по запросу площадки (Работы)</t>
        </is>
      </c>
      <c r="P408" s="341" t="inlineStr">
        <is>
          <t>Добавлено по запросу площадки (только мат.)</t>
        </is>
      </c>
      <c r="Q408" s="524" t="inlineStr">
        <is>
          <t>Итого в смету (в ед.изм номенклатур)</t>
        </is>
      </c>
      <c r="R408" s="524" t="inlineStr">
        <is>
          <t>Ед. изм. (НОМ.)</t>
        </is>
      </c>
      <c r="S408" s="524" t="inlineStr">
        <is>
          <t>Номенклатура</t>
        </is>
      </c>
      <c r="T408" s="524" t="inlineStr">
        <is>
          <t>Наименование производителя</t>
        </is>
      </c>
      <c r="U408" s="524" t="inlineStr">
        <is>
          <t>Примечание</t>
        </is>
      </c>
      <c r="V408" s="425" t="inlineStr">
        <is>
          <t>Коэф. расхода</t>
        </is>
      </c>
      <c r="W408" s="425" t="inlineStr">
        <is>
          <t>1</t>
        </is>
      </c>
    </row>
    <row r="409">
      <c r="A409" s="343" t="inlineStr">
        <is>
          <t>мат. (чтобы материал попал в сводную)</t>
        </is>
      </c>
      <c r="B409" s="343" t="inlineStr">
        <is>
          <t>ШИФР (проекта полностью)</t>
        </is>
      </c>
      <c r="C409" s="343" t="inlineStr">
        <is>
          <t>Дата выдачи комплекта</t>
        </is>
      </c>
      <c r="D409" s="343" t="inlineStr">
        <is>
          <t>Раздел</t>
        </is>
      </c>
      <c r="E409" s="343" t="inlineStr">
        <is>
          <t>Материал относительно которого считается объем работ</t>
        </is>
      </c>
      <c r="F409" s="343" t="inlineStr">
        <is>
          <t>Состав работ</t>
        </is>
      </c>
      <c r="G409" s="343" t="inlineStr">
        <is>
          <t>Номер корпуса</t>
        </is>
      </c>
      <c r="H409" s="343" t="inlineStr">
        <is>
          <t>Наименование работ под материал из 1С/договора субподряда</t>
        </is>
      </c>
      <c r="I409" s="344" t="n"/>
      <c r="J409" s="343" t="inlineStr">
        <is>
          <t>Объем работ на базовые материалы</t>
        </is>
      </c>
      <c r="K409" s="343" t="inlineStr">
        <is>
          <t>Все харрактеристики со спецификации по материалу</t>
        </is>
      </c>
      <c r="L409" s="343" t="inlineStr">
        <is>
          <t>Ед.изм по РД</t>
        </is>
      </c>
      <c r="M409" s="343" t="inlineStr">
        <is>
          <t>Кол-во со спецификации</t>
        </is>
      </c>
      <c r="N409" s="343" t="inlineStr">
        <is>
          <t>Кол-во по подсчету в ед.изм.РД (Сумма по этажам)</t>
        </is>
      </c>
      <c r="O409" s="344" t="n"/>
      <c r="P409" s="344" t="n"/>
      <c r="Q409" s="343" t="inlineStr">
        <is>
          <t>Итого с коэф.перевода</t>
        </is>
      </c>
      <c r="R409" s="343" t="inlineStr">
        <is>
          <t>ед. изм. НОМЕНКЛАТУРЫ</t>
        </is>
      </c>
      <c r="S409" s="343" t="inlineStr">
        <is>
          <t>Соответствующая позиции номенклатура</t>
        </is>
      </c>
      <c r="T409" s="343" t="inlineStr">
        <is>
          <t>Соответствующее наименование производителя</t>
        </is>
      </c>
      <c r="U409" s="343" t="inlineStr">
        <is>
          <t>Доп. информация</t>
        </is>
      </c>
      <c r="V409" s="345" t="n"/>
      <c r="W409" s="345" t="inlineStr">
        <is>
          <t>Кол-во на этаже</t>
        </is>
      </c>
    </row>
    <row r="410">
      <c r="A410" s="346" t="inlineStr">
        <is>
          <t>мат.</t>
        </is>
      </c>
      <c r="B410" s="346" t="inlineStr">
        <is>
          <t>13АВ-РД-АР1.1-К3/К4</t>
        </is>
      </c>
      <c r="C410" s="349" t="inlineStr">
        <is>
          <t>21.01.2026)</t>
        </is>
      </c>
      <c r="D410" s="349" t="inlineStr">
        <is>
          <t>Кладка</t>
        </is>
      </c>
      <c r="E410" s="349" t="inlineStr">
        <is>
          <t>БАЗА</t>
        </is>
      </c>
      <c r="F410" s="346" t="inlineStr">
        <is>
          <t>Внутренние стены D600
250мм</t>
        </is>
      </c>
      <c r="G410" s="444" t="inlineStr">
        <is>
          <t>Пристройка К3-К4</t>
        </is>
      </c>
      <c r="H410" s="349" t="n"/>
      <c r="I410" s="349" t="inlineStr">
        <is>
          <t>м3</t>
        </is>
      </c>
      <c r="J410" s="439" t="n"/>
      <c r="K410" s="351" t="inlineStr">
        <is>
          <t xml:space="preserve">Внутренняя стена из газобетонных
блоков, толщиной 250 мм, D600 </t>
        </is>
      </c>
      <c r="L410" s="349" t="inlineStr">
        <is>
          <t>м3</t>
        </is>
      </c>
      <c r="M410" s="349" t="n">
        <v>20.92</v>
      </c>
      <c r="N410" s="349">
        <f>SUM(W410)</f>
        <v/>
      </c>
      <c r="O410" s="349" t="n"/>
      <c r="P410" s="349" t="n"/>
      <c r="Q410" s="429">
        <f>N410*V410+P410</f>
        <v/>
      </c>
      <c r="R410" s="349" t="inlineStr">
        <is>
          <t>м3</t>
        </is>
      </c>
      <c r="S410" s="349" t="n"/>
      <c r="T410" s="349" t="n"/>
      <c r="U410" s="349" t="inlineStr">
        <is>
          <t>СВ-1.1
(В РД ошибочно учтен объем К4)</t>
        </is>
      </c>
      <c r="V410" s="349" t="n">
        <v>1</v>
      </c>
      <c r="W410" s="349" t="n">
        <v>6.87</v>
      </c>
    </row>
    <row r="411">
      <c r="A411" s="471" t="n"/>
      <c r="B411" s="471" t="inlineStr">
        <is>
          <t>13АВ-РД-АР1.1-К3/К4</t>
        </is>
      </c>
      <c r="C411" s="67" t="inlineStr">
        <is>
          <t>21.01.2026)</t>
        </is>
      </c>
      <c r="D411" s="67" t="inlineStr">
        <is>
          <t>Кладка</t>
        </is>
      </c>
      <c r="E411" s="67" t="n"/>
      <c r="F411" s="471" t="inlineStr">
        <is>
          <t>Внутренние стены D600
250мм</t>
        </is>
      </c>
      <c r="G411" s="471" t="inlineStr">
        <is>
          <t>Пристройка К3-К4</t>
        </is>
      </c>
      <c r="H411" s="67" t="n"/>
      <c r="I411" s="67" t="n"/>
      <c r="J411" s="419" t="n"/>
      <c r="K411" s="563" t="inlineStr">
        <is>
          <t>Вертикалное примыкание к ЖБ стенам</t>
        </is>
      </c>
      <c r="L411" s="381" t="inlineStr">
        <is>
          <t>м.п.</t>
        </is>
      </c>
      <c r="M411" s="364" t="n">
        <v>0</v>
      </c>
      <c r="N411" s="364">
        <f>SUM(W411)</f>
        <v/>
      </c>
      <c r="O411" s="358" t="n">
        <v>0</v>
      </c>
      <c r="P411" s="358" t="n">
        <v>0</v>
      </c>
      <c r="Q411" s="364">
        <f>N411*V411+P411</f>
        <v/>
      </c>
      <c r="R411" s="358" t="inlineStr">
        <is>
          <t>м.п.</t>
        </is>
      </c>
      <c r="S411" s="67" t="n"/>
      <c r="T411" s="67" t="n"/>
      <c r="U411" s="563" t="inlineStr">
        <is>
          <t>Вертикалное примыкание к ЖБ стенам</t>
        </is>
      </c>
      <c r="V411" s="67" t="n">
        <v>1</v>
      </c>
      <c r="W411" s="67">
        <f>2*4.55</f>
        <v/>
      </c>
    </row>
    <row r="412">
      <c r="A412" s="375" t="n"/>
      <c r="B412" s="375" t="inlineStr">
        <is>
          <t>13АВ-РД-АР1.1-К3/К4</t>
        </is>
      </c>
      <c r="C412" s="67" t="inlineStr">
        <is>
          <t>21.01.2026)</t>
        </is>
      </c>
      <c r="D412" s="358" t="inlineStr">
        <is>
          <t>Кладка</t>
        </is>
      </c>
      <c r="E412" s="360" t="n"/>
      <c r="F412" s="378" t="inlineStr">
        <is>
          <t>Внутренние стены D600
250мм</t>
        </is>
      </c>
      <c r="G412" s="471" t="inlineStr">
        <is>
          <t>Пристройка К3-К4</t>
        </is>
      </c>
      <c r="H412" s="362" t="n"/>
      <c r="I412" s="362" t="n"/>
      <c r="J412" s="362" t="n"/>
      <c r="K412" s="376" t="inlineStr">
        <is>
          <t>Примыкание к плите перекрытия</t>
        </is>
      </c>
      <c r="L412" s="381" t="inlineStr">
        <is>
          <t>м.п.</t>
        </is>
      </c>
      <c r="M412" s="364" t="n">
        <v>0</v>
      </c>
      <c r="N412" s="364">
        <f>SUM(W412)</f>
        <v/>
      </c>
      <c r="O412" s="358" t="n">
        <v>0</v>
      </c>
      <c r="P412" s="358" t="n">
        <v>0</v>
      </c>
      <c r="Q412" s="364">
        <f>N412*V412+P412</f>
        <v/>
      </c>
      <c r="R412" s="358" t="inlineStr">
        <is>
          <t>м.п.</t>
        </is>
      </c>
      <c r="S412" s="360" t="n"/>
      <c r="T412" s="360" t="n"/>
      <c r="U412" s="375" t="inlineStr">
        <is>
          <t xml:space="preserve">Верхнее крепление газобетонных блоков СВ-1.1 к перекрытию </t>
        </is>
      </c>
      <c r="V412" s="364" t="n">
        <v>1</v>
      </c>
      <c r="W412" s="364" t="n">
        <v>12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Анкер-шпилька Hilti HST M 10х100</t>
        </is>
      </c>
      <c r="L413" s="366" t="inlineStr">
        <is>
          <t>шт</t>
        </is>
      </c>
      <c r="M413" s="372" t="n">
        <v>0</v>
      </c>
      <c r="N413" s="372" t="n">
        <v>0</v>
      </c>
      <c r="O413" s="366" t="n">
        <v>0</v>
      </c>
      <c r="P413" s="366" t="n">
        <v>0</v>
      </c>
      <c r="Q413" s="372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2" t="n">
        <v>1</v>
      </c>
      <c r="W413" s="372" t="n">
        <v>2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>Пластина 50х4 (L=230мм)</t>
        </is>
      </c>
      <c r="L414" s="366" t="inlineStr">
        <is>
          <t>т</t>
        </is>
      </c>
      <c r="M414" s="372" t="n">
        <v>0</v>
      </c>
      <c r="N414" s="374" t="n">
        <v>0.001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1.44</v>
      </c>
    </row>
    <row r="415">
      <c r="A415" s="365" t="inlineStr">
        <is>
          <t>мат.</t>
        </is>
      </c>
      <c r="B415" s="365" t="inlineStr">
        <is>
          <t>13АВ-РД-АР1.1-К3/К4</t>
        </is>
      </c>
      <c r="C415" s="366" t="inlineStr">
        <is>
          <t>21.01.2026)</t>
        </is>
      </c>
      <c r="D415" s="366" t="inlineStr">
        <is>
          <t>Кладка</t>
        </is>
      </c>
      <c r="E415" s="366" t="inlineStr">
        <is>
          <t>БАЗА</t>
        </is>
      </c>
      <c r="F415" s="365" t="inlineStr">
        <is>
          <t>Перемычки</t>
        </is>
      </c>
      <c r="G415" s="365" t="inlineStr">
        <is>
          <t>Пристройка К3-К4</t>
        </is>
      </c>
      <c r="H415" s="368" t="n"/>
      <c r="I415" s="368" t="n"/>
      <c r="J415" s="368" t="n"/>
      <c r="K415" s="369" t="inlineStr">
        <is>
          <t xml:space="preserve"> Уголок 75х5 (L=1960мм)</t>
        </is>
      </c>
      <c r="L415" s="366" t="inlineStr">
        <is>
          <t>т</t>
        </is>
      </c>
      <c r="M415" s="372" t="n">
        <v>0</v>
      </c>
      <c r="N415" s="374" t="n">
        <v>0.05</v>
      </c>
      <c r="O415" s="366" t="n">
        <v>0</v>
      </c>
      <c r="P415" s="366" t="n">
        <v>0</v>
      </c>
      <c r="Q415" s="374">
        <f>W415*V415</f>
        <v/>
      </c>
      <c r="R415" s="366" t="inlineStr">
        <is>
          <t>т</t>
        </is>
      </c>
      <c r="S415" s="371" t="n"/>
      <c r="T415" s="371" t="n"/>
      <c r="U415" s="365" t="inlineStr">
        <is>
          <t>ПР-1.1, ПР-1.2, ПР-1.3, ПР-1.5, ПР-1.6
(Объем стен со спецификации учтен в корпусе 4)</t>
        </is>
      </c>
      <c r="V415" s="374" t="n">
        <v>0.001</v>
      </c>
      <c r="W415" s="372" t="n">
        <v>49.88</v>
      </c>
    </row>
    <row r="416">
      <c r="A416" s="365" t="inlineStr">
        <is>
          <t>мат.</t>
        </is>
      </c>
      <c r="B416" s="365" t="inlineStr">
        <is>
          <t>13АВ-РД-АР1.1-К3/К4</t>
        </is>
      </c>
      <c r="C416" s="366" t="inlineStr">
        <is>
          <t>21.01.2026)</t>
        </is>
      </c>
      <c r="D416" s="366" t="inlineStr">
        <is>
          <t>Кладка</t>
        </is>
      </c>
      <c r="E416" s="366" t="inlineStr">
        <is>
          <t>БАЗА</t>
        </is>
      </c>
      <c r="F416" s="365" t="inlineStr">
        <is>
          <t>Перемычки</t>
        </is>
      </c>
      <c r="G416" s="365" t="inlineStr">
        <is>
          <t>Пристройка К3-К4</t>
        </is>
      </c>
      <c r="H416" s="368" t="n"/>
      <c r="I416" s="368" t="n"/>
      <c r="J416" s="368" t="n"/>
      <c r="K416" s="369" t="inlineStr">
        <is>
          <t xml:space="preserve"> Уголок 80х6 (L=250мм) </t>
        </is>
      </c>
      <c r="L416" s="366" t="inlineStr">
        <is>
          <t>т</t>
        </is>
      </c>
      <c r="M416" s="372" t="n">
        <v>0</v>
      </c>
      <c r="N416" s="374" t="n">
        <v>0.002</v>
      </c>
      <c r="O416" s="366" t="n">
        <v>0</v>
      </c>
      <c r="P416" s="366" t="n">
        <v>0</v>
      </c>
      <c r="Q416" s="374">
        <f>W416*V416</f>
        <v/>
      </c>
      <c r="R416" s="366" t="inlineStr">
        <is>
          <t>т</t>
        </is>
      </c>
      <c r="S416" s="371" t="n"/>
      <c r="T416" s="371" t="n"/>
      <c r="U416" s="365" t="inlineStr">
        <is>
          <t>ПР-1.1, ПР-1.2, ПР-1.3, ПР-1.5, ПР-1.6
(Объем стен со спецификации учтен в корпусе 4)</t>
        </is>
      </c>
      <c r="V416" s="374" t="n">
        <v>0.001</v>
      </c>
      <c r="W416" s="372" t="n">
        <v>2.2</v>
      </c>
    </row>
    <row r="417">
      <c r="A417" s="346" t="inlineStr">
        <is>
          <t>мат.</t>
        </is>
      </c>
      <c r="B417" s="346" t="inlineStr">
        <is>
          <t>13АВ-РД-АР1.1-К3/К4</t>
        </is>
      </c>
      <c r="C417" s="349" t="inlineStr">
        <is>
          <t>21.01.2026)</t>
        </is>
      </c>
      <c r="D417" s="349" t="inlineStr">
        <is>
          <t>Кладка</t>
        </is>
      </c>
      <c r="E417" s="349" t="inlineStr">
        <is>
          <t>БАЗА</t>
        </is>
      </c>
      <c r="F417" s="346" t="inlineStr">
        <is>
          <t>Внутренние стены D600
200мм</t>
        </is>
      </c>
      <c r="G417" s="444" t="inlineStr">
        <is>
          <t>Пристройка К3-К4</t>
        </is>
      </c>
      <c r="H417" s="349" t="n"/>
      <c r="I417" s="349" t="n"/>
      <c r="J417" s="439" t="n"/>
      <c r="K417" s="351" t="inlineStr">
        <is>
          <t>Внутренняя стена из газобетонных
блоков, толщиной 200 мм, D600 на
клеевом растворе М100</t>
        </is>
      </c>
      <c r="L417" s="349" t="inlineStr">
        <is>
          <t>м3</t>
        </is>
      </c>
      <c r="M417" s="349" t="n">
        <v>16.72</v>
      </c>
      <c r="N417" s="349">
        <f>SUM(W417)</f>
        <v/>
      </c>
      <c r="O417" s="349" t="n"/>
      <c r="P417" s="349" t="n"/>
      <c r="Q417" s="429">
        <f>N417*V417+P417</f>
        <v/>
      </c>
      <c r="R417" s="349" t="inlineStr">
        <is>
          <t>м3</t>
        </is>
      </c>
      <c r="S417" s="349" t="n"/>
      <c r="T417" s="349" t="n"/>
      <c r="U417" s="349" t="inlineStr">
        <is>
          <t>СВ-1.2</t>
        </is>
      </c>
      <c r="V417" s="349" t="n">
        <v>1</v>
      </c>
      <c r="W417" s="349" t="n">
        <v>16.78</v>
      </c>
    </row>
    <row r="418">
      <c r="A418" s="471" t="n"/>
      <c r="B418" s="471" t="inlineStr">
        <is>
          <t>13АВ-РД-АР1.1-К3/К4</t>
        </is>
      </c>
      <c r="C418" s="67" t="inlineStr">
        <is>
          <t>21.01.2026)</t>
        </is>
      </c>
      <c r="D418" s="67" t="inlineStr">
        <is>
          <t>Кладка</t>
        </is>
      </c>
      <c r="E418" s="67" t="n"/>
      <c r="F418" s="471" t="inlineStr">
        <is>
          <t>Внутренние стены D600
200мм</t>
        </is>
      </c>
      <c r="G418" s="471" t="inlineStr">
        <is>
          <t>Пристройка К3-К4</t>
        </is>
      </c>
      <c r="H418" s="67" t="n"/>
      <c r="I418" s="67" t="n"/>
      <c r="J418" s="419" t="n"/>
      <c r="K418" s="563" t="inlineStr">
        <is>
          <t>Вертикалное примыкание к ЖБ стенам</t>
        </is>
      </c>
      <c r="L418" s="381" t="inlineStr">
        <is>
          <t>м.п.</t>
        </is>
      </c>
      <c r="M418" s="364" t="n">
        <v>0</v>
      </c>
      <c r="N418" s="364">
        <f>SUM(W418)</f>
        <v/>
      </c>
      <c r="O418" s="358" t="n">
        <v>0</v>
      </c>
      <c r="P418" s="358" t="n">
        <v>0</v>
      </c>
      <c r="Q418" s="364">
        <f>N418*V418+P418</f>
        <v/>
      </c>
      <c r="R418" s="358" t="inlineStr">
        <is>
          <t>м.п.</t>
        </is>
      </c>
      <c r="S418" s="67" t="n"/>
      <c r="T418" s="67" t="n"/>
      <c r="U418" s="563" t="inlineStr">
        <is>
          <t>Вертикалное примыкание к ЖБ стенам</t>
        </is>
      </c>
      <c r="V418" s="67" t="n">
        <v>1</v>
      </c>
      <c r="W418" s="67">
        <f>4*4.55</f>
        <v/>
      </c>
    </row>
    <row r="419">
      <c r="A419" s="375" t="n"/>
      <c r="B419" s="375" t="inlineStr">
        <is>
          <t>13АВ-РД-АР1.1-К3/К4</t>
        </is>
      </c>
      <c r="C419" s="67" t="inlineStr">
        <is>
          <t>21.01.2026)</t>
        </is>
      </c>
      <c r="D419" s="358" t="inlineStr">
        <is>
          <t>Кладка</t>
        </is>
      </c>
      <c r="E419" s="360" t="n"/>
      <c r="F419" s="471" t="inlineStr">
        <is>
          <t>Внутренние стены D600
200мм</t>
        </is>
      </c>
      <c r="G419" s="471" t="inlineStr">
        <is>
          <t>Пристройка К3-К4</t>
        </is>
      </c>
      <c r="H419" s="362" t="n"/>
      <c r="I419" s="362" t="n"/>
      <c r="J419" s="362" t="n"/>
      <c r="K419" s="376" t="inlineStr">
        <is>
          <t>Примыкание к плите перекрытия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360" t="n"/>
      <c r="T419" s="360" t="n"/>
      <c r="U419" s="375" t="inlineStr">
        <is>
          <t xml:space="preserve">Верхнее крепление газобетонных блоков СВ-1.2 к перекрытию </t>
        </is>
      </c>
      <c r="V419" s="364" t="n">
        <v>1</v>
      </c>
      <c r="W419" s="364" t="n">
        <v>19.2</v>
      </c>
    </row>
    <row r="420">
      <c r="A420" s="346" t="inlineStr">
        <is>
          <t>мат.</t>
        </is>
      </c>
      <c r="B420" s="346" t="inlineStr">
        <is>
          <t>13АВ-РД-АР1.1-К3/К4</t>
        </is>
      </c>
      <c r="C420" s="349" t="inlineStr">
        <is>
          <t>21.01.2026)</t>
        </is>
      </c>
      <c r="D420" s="349" t="inlineStr">
        <is>
          <t>Кладка</t>
        </is>
      </c>
      <c r="E420" s="349" t="inlineStr">
        <is>
          <t>БАЗА</t>
        </is>
      </c>
      <c r="F420" s="346" t="inlineStr">
        <is>
          <t>Внутренние стены D600
100мм</t>
        </is>
      </c>
      <c r="G420" s="444" t="inlineStr">
        <is>
          <t>Пристройка К3-К4</t>
        </is>
      </c>
      <c r="H420" s="349" t="n"/>
      <c r="I420" s="349" t="n"/>
      <c r="J420" s="439" t="n"/>
      <c r="K420" s="351" t="inlineStr">
        <is>
          <t>Внутренняя стена из газобетонных
блоков, толщиной 100мм, D600 на
клеевом растворе М100</t>
        </is>
      </c>
      <c r="L420" s="349" t="inlineStr">
        <is>
          <t>м3</t>
        </is>
      </c>
      <c r="M420" s="349" t="n">
        <v>6.04</v>
      </c>
      <c r="N420" s="349">
        <f>SUM(W420)</f>
        <v/>
      </c>
      <c r="O420" s="349" t="n"/>
      <c r="P420" s="349" t="n"/>
      <c r="Q420" s="429">
        <f>N420*V420+P420</f>
        <v/>
      </c>
      <c r="R420" s="349" t="inlineStr">
        <is>
          <t>м3</t>
        </is>
      </c>
      <c r="S420" s="349" t="n"/>
      <c r="T420" s="349" t="n"/>
      <c r="U420" s="349" t="inlineStr">
        <is>
          <t>СВ-1.4
(В РД ошибочно учтен объем К4)</t>
        </is>
      </c>
      <c r="V420" s="349" t="n">
        <v>1</v>
      </c>
      <c r="W420" s="349" t="n">
        <v>2.75</v>
      </c>
    </row>
    <row r="421">
      <c r="A421" s="471" t="n"/>
      <c r="B421" s="471" t="inlineStr">
        <is>
          <t>13АВ-РД-АР1.1-К3/К4</t>
        </is>
      </c>
      <c r="C421" s="67" t="inlineStr">
        <is>
          <t>21.01.2026)</t>
        </is>
      </c>
      <c r="D421" s="67" t="inlineStr">
        <is>
          <t>Кладка</t>
        </is>
      </c>
      <c r="E421" s="67" t="n"/>
      <c r="F421" s="471" t="inlineStr">
        <is>
          <t>Внутренние стены D600
100мм</t>
        </is>
      </c>
      <c r="G421" s="471" t="inlineStr">
        <is>
          <t>Пристройка К3-К4</t>
        </is>
      </c>
      <c r="H421" s="67" t="n"/>
      <c r="I421" s="67" t="n"/>
      <c r="J421" s="419" t="n"/>
      <c r="K421" s="563" t="inlineStr">
        <is>
          <t>Вертикалное примыкание к ЖБ стенам</t>
        </is>
      </c>
      <c r="L421" s="381" t="inlineStr">
        <is>
          <t>м.п.</t>
        </is>
      </c>
      <c r="M421" s="364" t="n">
        <v>0</v>
      </c>
      <c r="N421" s="364">
        <f>SUM(W421)</f>
        <v/>
      </c>
      <c r="O421" s="358" t="n">
        <v>0</v>
      </c>
      <c r="P421" s="358" t="n">
        <v>0</v>
      </c>
      <c r="Q421" s="364">
        <f>N421*V421+P421</f>
        <v/>
      </c>
      <c r="R421" s="358" t="inlineStr">
        <is>
          <t>м.п.</t>
        </is>
      </c>
      <c r="S421" s="67" t="n"/>
      <c r="T421" s="67" t="n"/>
      <c r="U421" s="563" t="inlineStr">
        <is>
          <t>Вертикалное примыкание к ЖБ стенам</t>
        </is>
      </c>
      <c r="V421" s="67" t="n">
        <v>1</v>
      </c>
      <c r="W421" s="67">
        <f>8*4.55</f>
        <v/>
      </c>
    </row>
    <row r="422">
      <c r="A422" s="375" t="n"/>
      <c r="B422" s="375" t="inlineStr">
        <is>
          <t>13АВ-РД-АР1.1-К3/К4</t>
        </is>
      </c>
      <c r="C422" s="67" t="inlineStr">
        <is>
          <t>21.01.2026)</t>
        </is>
      </c>
      <c r="D422" s="358" t="inlineStr">
        <is>
          <t>Кладка</t>
        </is>
      </c>
      <c r="E422" s="360" t="n"/>
      <c r="F422" s="471" t="inlineStr">
        <is>
          <t>Внутренние стены D600
100мм</t>
        </is>
      </c>
      <c r="G422" s="471" t="inlineStr">
        <is>
          <t>Пристройка К3-К4</t>
        </is>
      </c>
      <c r="H422" s="362" t="n"/>
      <c r="I422" s="362" t="n"/>
      <c r="J422" s="362" t="n"/>
      <c r="K422" s="376" t="inlineStr">
        <is>
          <t>Примыкание к плите перекрытия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360" t="n"/>
      <c r="T422" s="360" t="n"/>
      <c r="U422" s="375" t="inlineStr">
        <is>
          <t xml:space="preserve">Верхнее крепление газобетонных блоков СВ-1.4 к перекрытию </t>
        </is>
      </c>
      <c r="V422" s="364" t="n">
        <v>1</v>
      </c>
      <c r="W422" s="364">
        <f>1.42*3+1.6</f>
        <v/>
      </c>
    </row>
    <row r="423">
      <c r="A423" s="346" t="inlineStr">
        <is>
          <t>мат.</t>
        </is>
      </c>
      <c r="B423" s="346" t="inlineStr">
        <is>
          <t>13АВ-РД-АР1.1-К3/К4</t>
        </is>
      </c>
      <c r="C423" s="349" t="inlineStr">
        <is>
          <t>21.01.2026)</t>
        </is>
      </c>
      <c r="D423" s="349" t="inlineStr">
        <is>
          <t>Кладка</t>
        </is>
      </c>
      <c r="E423" s="349" t="inlineStr">
        <is>
          <t>БАЗА</t>
        </is>
      </c>
      <c r="F423" s="346" t="inlineStr">
        <is>
          <t>Внутренние стены D600
100мм
Трассировка</t>
        </is>
      </c>
      <c r="G423" s="444" t="inlineStr">
        <is>
          <t>Пристройка К3-К4</t>
        </is>
      </c>
      <c r="H423" s="349" t="n"/>
      <c r="I423" s="349" t="n"/>
      <c r="J423" s="439" t="n"/>
      <c r="K423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3" s="349" t="inlineStr">
        <is>
          <t>м3</t>
        </is>
      </c>
      <c r="M423" s="349" t="n">
        <v>5.08</v>
      </c>
      <c r="N423" s="349">
        <f>SUM(W423)</f>
        <v/>
      </c>
      <c r="O423" s="349" t="n"/>
      <c r="P423" s="349" t="n"/>
      <c r="Q423" s="429">
        <f>N423*V423+P423</f>
        <v/>
      </c>
      <c r="R423" s="349" t="inlineStr">
        <is>
          <t>м3</t>
        </is>
      </c>
      <c r="S423" s="349" t="n"/>
      <c r="T423" s="349" t="n"/>
      <c r="U423" s="349" t="inlineStr">
        <is>
          <t>СВ-1.5</t>
        </is>
      </c>
      <c r="V423" s="349" t="n">
        <v>1</v>
      </c>
      <c r="W423" s="349" t="n">
        <v>5.08</v>
      </c>
    </row>
    <row r="424">
      <c r="A424" s="471" t="n"/>
      <c r="B424" s="471" t="inlineStr">
        <is>
          <t>13АВ-РД-АР1.1-К3/К4</t>
        </is>
      </c>
      <c r="C424" s="67" t="inlineStr">
        <is>
          <t>21.01.2026)</t>
        </is>
      </c>
      <c r="D424" s="67" t="inlineStr">
        <is>
          <t>Кладка</t>
        </is>
      </c>
      <c r="E424" s="67" t="n"/>
      <c r="F424" s="471" t="inlineStr">
        <is>
          <t>Внутренние стены D600
100мм
Трассировка</t>
        </is>
      </c>
      <c r="G424" s="471" t="inlineStr">
        <is>
          <t>Пристройка К3-К4</t>
        </is>
      </c>
      <c r="H424" s="67" t="n"/>
      <c r="I424" s="67" t="n"/>
      <c r="J424" s="419" t="n"/>
      <c r="K424" s="563" t="inlineStr">
        <is>
          <t>Вертикалное примыкание к ЖБ стенам</t>
        </is>
      </c>
      <c r="L424" s="381" t="inlineStr">
        <is>
          <t>м.п.</t>
        </is>
      </c>
      <c r="M424" s="364" t="n">
        <v>0</v>
      </c>
      <c r="N424" s="364">
        <f>SUM(W424)</f>
        <v/>
      </c>
      <c r="O424" s="358" t="n">
        <v>0</v>
      </c>
      <c r="P424" s="358" t="n">
        <v>0</v>
      </c>
      <c r="Q424" s="364">
        <f>N424*V424+P424</f>
        <v/>
      </c>
      <c r="R424" s="358" t="inlineStr">
        <is>
          <t>м.п.</t>
        </is>
      </c>
      <c r="S424" s="67" t="n"/>
      <c r="T424" s="67" t="n"/>
      <c r="U424" s="563" t="inlineStr">
        <is>
          <t>Вертикалное примыкание к ЖБ стенам</t>
        </is>
      </c>
      <c r="V424" s="364" t="n">
        <v>1</v>
      </c>
      <c r="W424" s="364">
        <f>15*4.55</f>
        <v/>
      </c>
    </row>
    <row r="425">
      <c r="A425" s="375" t="n"/>
      <c r="B425" s="375" t="inlineStr">
        <is>
          <t>13АВ-РД-АР1.1-К3/К4</t>
        </is>
      </c>
      <c r="C425" s="67" t="inlineStr">
        <is>
          <t>21.01.2026)</t>
        </is>
      </c>
      <c r="D425" s="358" t="inlineStr">
        <is>
          <t>Кладка</t>
        </is>
      </c>
      <c r="E425" s="360" t="n"/>
      <c r="F425" s="471" t="inlineStr">
        <is>
          <t>Внутренние стены D600
100мм
Трассировка</t>
        </is>
      </c>
      <c r="G425" s="471" t="inlineStr">
        <is>
          <t>Пристройка К3-К4</t>
        </is>
      </c>
      <c r="H425" s="362" t="n"/>
      <c r="I425" s="362" t="n"/>
      <c r="J425" s="362" t="n"/>
      <c r="K425" s="376" t="inlineStr">
        <is>
          <t>Примыкание к плите перекрытия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360" t="n"/>
      <c r="T425" s="360" t="n"/>
      <c r="U425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5" s="364" t="n">
        <v>1</v>
      </c>
      <c r="W425" s="364" t="n">
        <v>0</v>
      </c>
    </row>
    <row r="426">
      <c r="A426" s="346" t="inlineStr">
        <is>
          <t>мат.</t>
        </is>
      </c>
      <c r="B426" s="346" t="inlineStr">
        <is>
          <t>13АВ-РД-АР1.1-К3/К4</t>
        </is>
      </c>
      <c r="C426" s="349" t="inlineStr">
        <is>
          <t>21.01.2026)</t>
        </is>
      </c>
      <c r="D426" s="349" t="inlineStr">
        <is>
          <t>Кладка</t>
        </is>
      </c>
      <c r="E426" s="349" t="inlineStr">
        <is>
          <t>БАЗА</t>
        </is>
      </c>
      <c r="F426" s="346" t="inlineStr">
        <is>
          <t>Наружные стены D600 300мм</t>
        </is>
      </c>
      <c r="G426" s="444" t="inlineStr">
        <is>
          <t>Пристройка К3-К4</t>
        </is>
      </c>
      <c r="H426" s="349" t="n"/>
      <c r="I426" s="349" t="n"/>
      <c r="J426" s="439" t="n"/>
      <c r="K426" s="351" t="inlineStr">
        <is>
          <t>Наружная стена из газобетонных
блоков, толщиной 300мм, D600 на
клеевом растворе М100</t>
        </is>
      </c>
      <c r="L426" s="349" t="inlineStr">
        <is>
          <t>м3</t>
        </is>
      </c>
      <c r="M426" s="349" t="n">
        <v>9.630000000000001</v>
      </c>
      <c r="N426" s="349">
        <f>SUM(W426)</f>
        <v/>
      </c>
      <c r="O426" s="349" t="n"/>
      <c r="P426" s="349" t="n"/>
      <c r="Q426" s="429">
        <f>N426*V426+P426</f>
        <v/>
      </c>
      <c r="R426" s="349" t="inlineStr">
        <is>
          <t>м3</t>
        </is>
      </c>
      <c r="S426" s="349" t="n"/>
      <c r="T426" s="349" t="n"/>
      <c r="U426" s="346" t="inlineStr">
        <is>
          <t>СН-1.1
(Объем стен со спецификации учтен в корпусе 4)</t>
        </is>
      </c>
      <c r="V426" s="349" t="n">
        <v>1</v>
      </c>
      <c r="W426" s="349" t="n">
        <v>0</v>
      </c>
    </row>
    <row r="427">
      <c r="A427" s="471" t="n"/>
      <c r="B427" s="471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67" t="n"/>
      <c r="F427" s="471" t="inlineStr">
        <is>
          <t>Наружные стены D600 300мм</t>
        </is>
      </c>
      <c r="G427" s="471" t="inlineStr">
        <is>
          <t>Пристройка К3-К4</t>
        </is>
      </c>
      <c r="H427" s="67" t="n"/>
      <c r="I427" s="67" t="n"/>
      <c r="J427" s="419" t="n"/>
      <c r="K427" s="563" t="inlineStr">
        <is>
          <t>Вертикалное примыкание к ЖБ стенам</t>
        </is>
      </c>
      <c r="L427" s="381" t="inlineStr">
        <is>
          <t>м.п.</t>
        </is>
      </c>
      <c r="M427" s="364" t="n">
        <v>0</v>
      </c>
      <c r="N427" s="364">
        <f>SUM(W427)</f>
        <v/>
      </c>
      <c r="O427" s="358" t="n">
        <v>0</v>
      </c>
      <c r="P427" s="358" t="n">
        <v>0</v>
      </c>
      <c r="Q427" s="364">
        <f>N427*V427+P427</f>
        <v/>
      </c>
      <c r="R427" s="358" t="inlineStr">
        <is>
          <t>м.п.</t>
        </is>
      </c>
      <c r="S427" s="67" t="n"/>
      <c r="T427" s="67" t="n"/>
      <c r="U427" s="563" t="inlineStr">
        <is>
          <t>Вертикалное примыкание к ЖБ стенам</t>
        </is>
      </c>
      <c r="V427" s="67" t="n">
        <v>1</v>
      </c>
      <c r="W427" s="67" t="n">
        <v>0</v>
      </c>
    </row>
    <row r="428">
      <c r="A428" s="375" t="n"/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60" t="n"/>
      <c r="F428" s="378" t="inlineStr">
        <is>
          <t>Наружные стены D600 300мм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Примыкание к плите перекрытия</t>
        </is>
      </c>
      <c r="L428" s="381" t="inlineStr">
        <is>
          <t>м.п.</t>
        </is>
      </c>
      <c r="M428" s="364" t="n">
        <v>0</v>
      </c>
      <c r="N428" s="364">
        <f>SUM(W428)</f>
        <v/>
      </c>
      <c r="O428" s="358" t="n">
        <v>0</v>
      </c>
      <c r="P428" s="358" t="n">
        <v>0</v>
      </c>
      <c r="Q428" s="364">
        <f>N428*V428+P428</f>
        <v/>
      </c>
      <c r="R428" s="358" t="inlineStr">
        <is>
          <t>м.п.</t>
        </is>
      </c>
      <c r="S428" s="360" t="n"/>
      <c r="T428" s="360" t="n"/>
      <c r="U428" s="375" t="inlineStr">
        <is>
          <t xml:space="preserve">Верхнее крепление газобетонных блоков СН-1.1 к перекрытию </t>
        </is>
      </c>
      <c r="V428" s="364" t="n">
        <v>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Анкер-шпилька Hilti HST M 10х100</t>
        </is>
      </c>
      <c r="L429" s="67" t="inlineStr">
        <is>
          <t>шт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N429*V429+P429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364" t="n">
        <v>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>Пластина 50х4 (L=230мм)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N430*V430+P430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75" t="inlineStr">
        <is>
          <t>мат.</t>
        </is>
      </c>
      <c r="B431" s="375" t="inlineStr">
        <is>
          <t>13АВ-РД-АР1.1-К3/К4</t>
        </is>
      </c>
      <c r="C431" s="67" t="inlineStr">
        <is>
          <t>21.01.2026)</t>
        </is>
      </c>
      <c r="D431" s="67" t="inlineStr">
        <is>
          <t>Кладка</t>
        </is>
      </c>
      <c r="E431" s="358" t="inlineStr">
        <is>
          <t>БАЗА</t>
        </is>
      </c>
      <c r="F431" s="471" t="inlineStr">
        <is>
          <t>Перемычки</t>
        </is>
      </c>
      <c r="G431" s="471" t="inlineStr">
        <is>
          <t>Пристройка К3-К4</t>
        </is>
      </c>
      <c r="H431" s="362" t="n"/>
      <c r="I431" s="362" t="n"/>
      <c r="J431" s="362" t="n"/>
      <c r="K431" s="376" t="inlineStr">
        <is>
          <t xml:space="preserve"> Уголок 75х5 (L=1960мм)</t>
        </is>
      </c>
      <c r="L431" s="67" t="inlineStr">
        <is>
          <t>т</t>
        </is>
      </c>
      <c r="M431" s="364" t="n">
        <v>0</v>
      </c>
      <c r="N431" s="364" t="n">
        <v>0</v>
      </c>
      <c r="O431" s="358" t="n">
        <v>0</v>
      </c>
      <c r="P431" s="358" t="n">
        <v>0</v>
      </c>
      <c r="Q431" s="364">
        <f>W431*V431</f>
        <v/>
      </c>
      <c r="R431" s="67" t="inlineStr">
        <is>
          <t>т</t>
        </is>
      </c>
      <c r="S431" s="67" t="n"/>
      <c r="T431" s="67" t="n"/>
      <c r="U431" s="471" t="inlineStr">
        <is>
          <t>ПР-1.1, ПР-1.2, ПР-1.3, ПР-1.5, ПР-1.6
(Объем стен со спецификации учтен в корпусе 4)</t>
        </is>
      </c>
      <c r="V431" s="527" t="n">
        <v>0.001</v>
      </c>
      <c r="W431" s="364" t="n">
        <v>0</v>
      </c>
    </row>
    <row r="432">
      <c r="A432" s="375" t="inlineStr">
        <is>
          <t>мат.</t>
        </is>
      </c>
      <c r="B432" s="375" t="inlineStr">
        <is>
          <t>13АВ-РД-АР1.1-К3/К4</t>
        </is>
      </c>
      <c r="C432" s="67" t="inlineStr">
        <is>
          <t>21.01.2026)</t>
        </is>
      </c>
      <c r="D432" s="358" t="inlineStr">
        <is>
          <t>Кладка</t>
        </is>
      </c>
      <c r="E432" s="358" t="inlineStr">
        <is>
          <t>БАЗА</t>
        </is>
      </c>
      <c r="F432" s="471" t="inlineStr">
        <is>
          <t>Перемычки</t>
        </is>
      </c>
      <c r="G432" s="471" t="inlineStr">
        <is>
          <t>Пристройка К3-К4</t>
        </is>
      </c>
      <c r="H432" s="362" t="n"/>
      <c r="I432" s="362" t="n"/>
      <c r="J432" s="362" t="n"/>
      <c r="K432" s="376" t="inlineStr">
        <is>
          <t xml:space="preserve"> Уголок 80х6 (L=250мм) </t>
        </is>
      </c>
      <c r="L432" s="67" t="inlineStr">
        <is>
          <t>т</t>
        </is>
      </c>
      <c r="M432" s="364" t="n">
        <v>0</v>
      </c>
      <c r="N432" s="364" t="n">
        <v>0</v>
      </c>
      <c r="O432" s="358" t="n">
        <v>0</v>
      </c>
      <c r="P432" s="358" t="n">
        <v>0</v>
      </c>
      <c r="Q432" s="364">
        <f>W432*V432</f>
        <v/>
      </c>
      <c r="R432" s="67" t="inlineStr">
        <is>
          <t>т</t>
        </is>
      </c>
      <c r="S432" s="67" t="n"/>
      <c r="T432" s="67" t="n"/>
      <c r="U432" s="471" t="inlineStr">
        <is>
          <t>ПР-1.1, ПР-1.2, ПР-1.3, ПР-1.5, ПР-1.6
(Объем стен со спецификации учтен в корпусе 4)</t>
        </is>
      </c>
      <c r="V432" s="527" t="n">
        <v>0.001</v>
      </c>
      <c r="W432" s="364" t="n">
        <v>0</v>
      </c>
    </row>
    <row r="433">
      <c r="A433" s="346" t="inlineStr">
        <is>
          <t>мат.</t>
        </is>
      </c>
      <c r="B433" s="346" t="inlineStr">
        <is>
          <t>13АВ-РД-АР1.1-К3/К4</t>
        </is>
      </c>
      <c r="C433" s="349" t="inlineStr">
        <is>
          <t>21.01.2026)</t>
        </is>
      </c>
      <c r="D433" s="349" t="inlineStr">
        <is>
          <t>Кладка</t>
        </is>
      </c>
      <c r="E433" s="349" t="inlineStr">
        <is>
          <t>БАЗА</t>
        </is>
      </c>
      <c r="F433" s="346" t="inlineStr">
        <is>
          <t>Наружные стены D600 250мм</t>
        </is>
      </c>
      <c r="G433" s="444" t="inlineStr">
        <is>
          <t>Пристройка К3-К4</t>
        </is>
      </c>
      <c r="H433" s="349" t="n"/>
      <c r="I433" s="349" t="n"/>
      <c r="J433" s="439" t="n"/>
      <c r="K433" s="351" t="inlineStr">
        <is>
          <t>Наружная стена из газобетонных
блоков, толщиной 250мм, D600 на
клеевом растворе М100</t>
        </is>
      </c>
      <c r="L433" s="349" t="inlineStr">
        <is>
          <t>м3</t>
        </is>
      </c>
      <c r="M433" s="349" t="n">
        <v>9.970000000000001</v>
      </c>
      <c r="N433" s="349">
        <f>SUM(W433)</f>
        <v/>
      </c>
      <c r="O433" s="349" t="n"/>
      <c r="P433" s="349" t="n"/>
      <c r="Q433" s="429">
        <f>N433*V433+P433</f>
        <v/>
      </c>
      <c r="R433" s="349" t="inlineStr">
        <is>
          <t>м3</t>
        </is>
      </c>
      <c r="S433" s="349" t="n"/>
      <c r="T433" s="349" t="n"/>
      <c r="U433" s="346" t="inlineStr">
        <is>
          <t>СН-1.2
(Объем стен со спецификации учтен в корпусе 4)</t>
        </is>
      </c>
      <c r="V433" s="349" t="n">
        <v>1</v>
      </c>
      <c r="W433" s="349" t="n">
        <v>0</v>
      </c>
    </row>
    <row r="434">
      <c r="A434" s="471" t="n"/>
      <c r="B434" s="471" t="inlineStr">
        <is>
          <t>13АВ-РД-АР1.1-К3/К4</t>
        </is>
      </c>
      <c r="C434" s="67" t="inlineStr">
        <is>
          <t>21.01.2026)</t>
        </is>
      </c>
      <c r="D434" s="67" t="inlineStr">
        <is>
          <t>Кладка</t>
        </is>
      </c>
      <c r="E434" s="67" t="n"/>
      <c r="F434" s="471" t="inlineStr">
        <is>
          <t>Наружные стены D600 250мм</t>
        </is>
      </c>
      <c r="G434" s="471" t="inlineStr">
        <is>
          <t>Пристройка К3-К4</t>
        </is>
      </c>
      <c r="H434" s="67" t="n"/>
      <c r="I434" s="67" t="n"/>
      <c r="J434" s="419" t="n"/>
      <c r="K434" s="563" t="inlineStr">
        <is>
          <t>Вертикалное примыкание к ЖБ стенам</t>
        </is>
      </c>
      <c r="L434" s="381" t="inlineStr">
        <is>
          <t>м.п.</t>
        </is>
      </c>
      <c r="M434" s="364" t="n">
        <v>0</v>
      </c>
      <c r="N434" s="364">
        <f>SUM(W434)</f>
        <v/>
      </c>
      <c r="O434" s="358" t="n">
        <v>0</v>
      </c>
      <c r="P434" s="358" t="n">
        <v>0</v>
      </c>
      <c r="Q434" s="364">
        <f>N434*V434+P434</f>
        <v/>
      </c>
      <c r="R434" s="358" t="inlineStr">
        <is>
          <t>м.п.</t>
        </is>
      </c>
      <c r="S434" s="67" t="n"/>
      <c r="T434" s="67" t="n"/>
      <c r="U434" s="563" t="inlineStr">
        <is>
          <t>Вертикалное примыкание к ЖБ стенам</t>
        </is>
      </c>
      <c r="V434" s="67" t="n">
        <v>1</v>
      </c>
      <c r="W434" s="67" t="n">
        <v>0</v>
      </c>
    </row>
    <row r="435">
      <c r="A435" s="375" t="n"/>
      <c r="B435" s="375" t="inlineStr">
        <is>
          <t>13АВ-РД-АР1.1-К3/К4</t>
        </is>
      </c>
      <c r="C435" s="67" t="inlineStr">
        <is>
          <t>21.01.2026)</t>
        </is>
      </c>
      <c r="D435" s="358" t="inlineStr">
        <is>
          <t>Кладка</t>
        </is>
      </c>
      <c r="E435" s="360" t="n"/>
      <c r="F435" s="378" t="inlineStr">
        <is>
          <t>Наружные стены D600 250мм</t>
        </is>
      </c>
      <c r="G435" s="471" t="inlineStr">
        <is>
          <t>Пристройка К3-К4</t>
        </is>
      </c>
      <c r="H435" s="362" t="n"/>
      <c r="I435" s="362" t="n"/>
      <c r="J435" s="362" t="n"/>
      <c r="K435" s="376" t="inlineStr">
        <is>
          <t>Примыкание к плите перекрытия</t>
        </is>
      </c>
      <c r="L435" s="381" t="inlineStr">
        <is>
          <t>м.п.</t>
        </is>
      </c>
      <c r="M435" s="364" t="n">
        <v>0</v>
      </c>
      <c r="N435" s="364">
        <f>SUM(W435)</f>
        <v/>
      </c>
      <c r="O435" s="358" t="n">
        <v>0</v>
      </c>
      <c r="P435" s="358" t="n">
        <v>0</v>
      </c>
      <c r="Q435" s="364">
        <f>N435*V435+P435</f>
        <v/>
      </c>
      <c r="R435" s="358" t="inlineStr">
        <is>
          <t>м.п.</t>
        </is>
      </c>
      <c r="S435" s="360" t="n"/>
      <c r="T435" s="360" t="n"/>
      <c r="U435" s="375" t="inlineStr">
        <is>
          <t xml:space="preserve">Верхнее крепление газобетонных блоков СН-1.2 к перекрытию </t>
        </is>
      </c>
      <c r="V435" s="364" t="n">
        <v>1</v>
      </c>
      <c r="W435" s="364" t="n">
        <v>0</v>
      </c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  <row r="519">
      <c r="A519" s="152" t="n"/>
      <c r="B519" s="152" t="n"/>
      <c r="C519" s="452" t="n"/>
      <c r="D519" s="452" t="n"/>
      <c r="E519" s="452" t="n"/>
      <c r="F519" s="152" t="n"/>
      <c r="G519" s="1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</row>
    <row r="520">
      <c r="A520" s="152" t="n"/>
      <c r="B520" s="152" t="n"/>
      <c r="C520" s="452" t="n"/>
      <c r="D520" s="452" t="n"/>
      <c r="E520" s="452" t="n"/>
      <c r="F520" s="152" t="n"/>
      <c r="G520" s="1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X116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Тех. этаж</t>
        </is>
      </c>
      <c r="X2" s="519" t="inlineStr">
        <is>
          <t>-1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</row>
    <row r="4">
      <c r="A4" s="495" t="inlineStr">
        <is>
          <t>мат.</t>
        </is>
      </c>
      <c r="B4" s="495" t="inlineStr">
        <is>
          <t>13АВ-РД-АР0.3-ПА</t>
        </is>
      </c>
      <c r="C4" s="496" t="n">
        <v>45915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7" t="inlineStr">
        <is>
          <t>Подземная автостоянка в/о П24-П48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495" t="n">
        <v>208.34</v>
      </c>
      <c r="N4" s="520">
        <f>SUM(W4:X4)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s="495" t="n">
        <v>37.91</v>
      </c>
      <c r="X4" s="495" t="n">
        <v>152.91</v>
      </c>
    </row>
    <row r="5">
      <c r="A5" s="421" t="n"/>
      <c r="B5" s="421" t="inlineStr">
        <is>
          <t>13АВ-РД-АР0.3-ПА</t>
        </is>
      </c>
      <c r="C5" s="453" t="n">
        <v>45915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87" t="inlineStr">
        <is>
          <t>Подземная автостоянка в/о П24-П48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20">
        <f>SUM(W5:X5)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s="421" t="n">
        <v>78.70999999999999</v>
      </c>
      <c r="X5" s="421" t="n">
        <v>189.83</v>
      </c>
    </row>
    <row r="6">
      <c r="A6" s="421" t="inlineStr">
        <is>
          <t>мат.</t>
        </is>
      </c>
      <c r="B6" s="421" t="inlineStr">
        <is>
          <t>13АВ-РД-АР0.3-ПА</t>
        </is>
      </c>
      <c r="C6" s="453" t="n">
        <v>45915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87" t="inlineStr">
        <is>
          <t>Подземная автостоянка в/о П24-П48</t>
        </is>
      </c>
      <c r="H6" s="421" t="n"/>
      <c r="I6" s="421" t="n"/>
      <c r="J6" s="521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601" t="n">
        <v>0.177</v>
      </c>
      <c r="N6" s="456" t="n"/>
      <c r="O6" s="421" t="n"/>
      <c r="P6" s="421" t="n"/>
      <c r="Q6" s="456" t="n"/>
      <c r="R6" s="421" t="n"/>
      <c r="S6" s="421" t="n"/>
      <c r="T6" s="421" t="n"/>
      <c r="U6" s="487" t="inlineStr">
        <is>
          <t>ПР-2, ПР-7, ПР-9, ПР-11, ПР-18, ПР-13, ПР-16, ПР-21, ПР-22. Принимается значение по спецификации, пересчет не выполняется</t>
        </is>
      </c>
      <c r="V6" s="421" t="n"/>
      <c r="W6" s="421" t="n"/>
      <c r="X6" s="421" t="n"/>
    </row>
    <row r="7">
      <c r="A7" s="421" t="inlineStr">
        <is>
          <t>мат.</t>
        </is>
      </c>
      <c r="B7" s="421" t="inlineStr">
        <is>
          <t>13АВ-РД-АР0.3-ПА</t>
        </is>
      </c>
      <c r="C7" s="453" t="n">
        <v>45915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87" t="inlineStr">
        <is>
          <t>Подземная автостоянка в/о П24-П48</t>
        </is>
      </c>
      <c r="H7" s="421" t="n"/>
      <c r="I7" s="421" t="n"/>
      <c r="J7" s="514">
        <f>M7</f>
        <v/>
      </c>
      <c r="K7" s="454" t="inlineStr">
        <is>
          <t>Полоса 50х4 ГОСТ 103-2006</t>
        </is>
      </c>
      <c r="L7" s="421" t="inlineStr">
        <is>
          <t>т</t>
        </is>
      </c>
      <c r="M7" s="523" t="n">
        <v>0.03</v>
      </c>
      <c r="N7" s="456" t="n"/>
      <c r="O7" s="421" t="n"/>
      <c r="P7" s="421" t="n"/>
      <c r="Q7" s="456" t="n"/>
      <c r="R7" s="421" t="n"/>
      <c r="S7" s="421" t="n"/>
      <c r="T7" s="421" t="n"/>
      <c r="U7" s="421" t="n"/>
      <c r="V7" s="421" t="n"/>
      <c r="W7" s="421" t="n"/>
      <c r="X7" s="421" t="n"/>
    </row>
    <row r="8">
      <c r="A8" s="421" t="inlineStr">
        <is>
          <t>мат.</t>
        </is>
      </c>
      <c r="B8" s="421" t="inlineStr">
        <is>
          <t>13АВ-РД-АР0.3-ПА</t>
        </is>
      </c>
      <c r="C8" s="453" t="n">
        <v>45915</v>
      </c>
      <c r="D8" s="421" t="inlineStr">
        <is>
          <t>Кладка</t>
        </is>
      </c>
      <c r="E8" s="421" t="inlineStr">
        <is>
          <t>БАЗА</t>
        </is>
      </c>
      <c r="F8" s="487" t="inlineStr">
        <is>
          <t>Перемычки внутренних стен 250 мм</t>
        </is>
      </c>
      <c r="G8" s="487" t="inlineStr">
        <is>
          <t>Подземная автостоянка в/о П24-П48</t>
        </is>
      </c>
      <c r="H8" s="421" t="n"/>
      <c r="I8" s="421" t="n"/>
      <c r="J8" s="514">
        <f>M8</f>
        <v/>
      </c>
      <c r="K8" s="454" t="inlineStr">
        <is>
          <t>Уголок 80х6 ГОСТ 8509-93</t>
        </is>
      </c>
      <c r="L8" s="421" t="inlineStr">
        <is>
          <t>т</t>
        </is>
      </c>
      <c r="M8" s="523" t="n">
        <v>0.006</v>
      </c>
      <c r="N8" s="456" t="n"/>
      <c r="O8" s="421" t="n"/>
      <c r="P8" s="421" t="n"/>
      <c r="Q8" s="456" t="n"/>
      <c r="R8" s="421" t="n"/>
      <c r="S8" s="421" t="n"/>
      <c r="T8" s="421" t="n"/>
      <c r="U8" s="421" t="n"/>
      <c r="V8" s="421" t="n"/>
      <c r="W8" s="421" t="n"/>
      <c r="X8" s="421" t="n"/>
    </row>
    <row r="9">
      <c r="A9" s="421" t="inlineStr">
        <is>
          <t>мат.</t>
        </is>
      </c>
      <c r="B9" s="421" t="inlineStr">
        <is>
          <t>13АВ-РД-АР0.3-ПА</t>
        </is>
      </c>
      <c r="C9" s="453" t="n">
        <v>45915</v>
      </c>
      <c r="D9" s="421" t="inlineStr">
        <is>
          <t>Кладка</t>
        </is>
      </c>
      <c r="E9" s="421" t="n"/>
      <c r="F9" s="487" t="inlineStr">
        <is>
          <t>Перемычки внутренних стен 250 мм</t>
        </is>
      </c>
      <c r="G9" s="487" t="inlineStr">
        <is>
          <t>Подземная автостоянка в/о П24-П48</t>
        </is>
      </c>
      <c r="H9" s="421" t="n"/>
      <c r="I9" s="421" t="n"/>
      <c r="J9" s="514" t="n"/>
      <c r="K9" s="454" t="inlineStr">
        <is>
          <t>Анкер-шпилька Hilti HST M 10х100</t>
        </is>
      </c>
      <c r="L9" s="421" t="inlineStr">
        <is>
          <t>шт</t>
        </is>
      </c>
      <c r="M9" s="523" t="n">
        <v>12</v>
      </c>
      <c r="N9" s="456" t="n"/>
      <c r="O9" s="421" t="n"/>
      <c r="P9" s="421" t="n"/>
      <c r="Q9" s="456" t="n"/>
      <c r="R9" s="421" t="n"/>
      <c r="S9" s="421" t="n"/>
      <c r="T9" s="421" t="n"/>
      <c r="U9" s="421" t="n"/>
      <c r="V9" s="421" t="n"/>
      <c r="W9" s="421" t="n"/>
      <c r="X9" s="421" t="n"/>
    </row>
    <row r="10">
      <c r="A10" s="421" t="inlineStr">
        <is>
          <t>мат.</t>
        </is>
      </c>
      <c r="B10" s="421" t="inlineStr">
        <is>
          <t>13АВ-РД-АР0.3-ПА</t>
        </is>
      </c>
      <c r="C10" s="453" t="n">
        <v>45915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250 мм</t>
        </is>
      </c>
      <c r="G10" s="487" t="inlineStr">
        <is>
          <t>Подземная автостоянка в/о П24-П48</t>
        </is>
      </c>
      <c r="H10" s="421" t="n"/>
      <c r="I10" s="421" t="n"/>
      <c r="J10" s="514">
        <f>M10</f>
        <v/>
      </c>
      <c r="K10" s="454" t="inlineStr">
        <is>
          <t>Уголок 125х10 ГОСТ 8509-93</t>
        </is>
      </c>
      <c r="L10" s="421" t="inlineStr">
        <is>
          <t>т</t>
        </is>
      </c>
      <c r="M10" s="523" t="n">
        <v>0.308</v>
      </c>
      <c r="N10" s="456" t="n"/>
      <c r="O10" s="421" t="n"/>
      <c r="P10" s="421" t="n"/>
      <c r="Q10" s="456" t="n"/>
      <c r="R10" s="421" t="n"/>
      <c r="S10" s="421" t="n"/>
      <c r="T10" s="421" t="n"/>
      <c r="U10" s="421" t="n"/>
      <c r="V10" s="421" t="n"/>
      <c r="W10" s="421" t="n"/>
      <c r="X10" s="421" t="n"/>
    </row>
    <row r="11">
      <c r="A11" s="495" t="inlineStr">
        <is>
          <t>мат.</t>
        </is>
      </c>
      <c r="B11" s="495" t="inlineStr">
        <is>
          <t>13АВ-РД-АР0.3-ПА</t>
        </is>
      </c>
      <c r="C11" s="496" t="n">
        <v>45915</v>
      </c>
      <c r="D11" s="495" t="inlineStr">
        <is>
          <t>Кладка</t>
        </is>
      </c>
      <c r="E11" s="495" t="inlineStr">
        <is>
          <t>БАЗА</t>
        </is>
      </c>
      <c r="F11" s="497" t="inlineStr">
        <is>
          <t>Внутренние стены из газобетонных блоков D600 200 мм</t>
        </is>
      </c>
      <c r="G11" s="497" t="inlineStr">
        <is>
          <t>Подземная автостоянка в/о П24-П48</t>
        </is>
      </c>
      <c r="H11" s="495" t="n"/>
      <c r="I11" s="495" t="n"/>
      <c r="J11" s="498">
        <f>Q11</f>
        <v/>
      </c>
      <c r="K11" s="499" t="inlineStr">
        <is>
          <t>Газобетонные блоки D600 толщиной 200 мм ГОСТ 31359-2024</t>
        </is>
      </c>
      <c r="L11" s="495" t="inlineStr">
        <is>
          <t>м3</t>
        </is>
      </c>
      <c r="M11" s="495" t="n">
        <v>198.42</v>
      </c>
      <c r="N11" s="520">
        <f>SUM(W11:X11)</f>
        <v/>
      </c>
      <c r="O11" s="495" t="n">
        <v>0</v>
      </c>
      <c r="P11" s="495" t="n">
        <v>0</v>
      </c>
      <c r="Q11" s="502">
        <f>N11*V11</f>
        <v/>
      </c>
      <c r="R11" s="495" t="inlineStr">
        <is>
          <t>м3</t>
        </is>
      </c>
      <c r="S11" s="495" t="n"/>
      <c r="T11" s="495" t="n"/>
      <c r="U11" s="495" t="inlineStr">
        <is>
          <t>СВ-1.2</t>
        </is>
      </c>
      <c r="V11" s="495" t="n">
        <v>1</v>
      </c>
      <c r="W11" s="495" t="n">
        <v>15.01</v>
      </c>
      <c r="X11" s="495" t="n">
        <v>186.37</v>
      </c>
    </row>
    <row r="12">
      <c r="A12" s="421" t="n"/>
      <c r="B12" s="421" t="inlineStr">
        <is>
          <t>13АВ-РД-АР0.3-ПА</t>
        </is>
      </c>
      <c r="C12" s="453" t="n">
        <v>45915</v>
      </c>
      <c r="D12" s="421" t="inlineStr">
        <is>
          <t>Кладка</t>
        </is>
      </c>
      <c r="E12" s="421" t="n"/>
      <c r="F12" s="487" t="inlineStr">
        <is>
          <t>Внутренние стены из газобетонных блоков D600 200 мм</t>
        </is>
      </c>
      <c r="G12" s="487" t="inlineStr">
        <is>
          <t>Подземная автостоянка в/о П24-П48</t>
        </is>
      </c>
      <c r="H12" s="421" t="n"/>
      <c r="I12" s="421" t="n"/>
      <c r="J12" s="514" t="n"/>
      <c r="K12" s="454" t="inlineStr">
        <is>
          <t>Примыкание к перекрытию</t>
        </is>
      </c>
      <c r="L12" s="421" t="inlineStr">
        <is>
          <t>м.п.</t>
        </is>
      </c>
      <c r="M12" s="421" t="n">
        <v>0</v>
      </c>
      <c r="N12" s="520">
        <f>SUM(W12:X12)</f>
        <v/>
      </c>
      <c r="O12" s="421" t="n">
        <v>0</v>
      </c>
      <c r="P12" s="421" t="n">
        <v>0</v>
      </c>
      <c r="Q12" s="456">
        <f>N12*V12</f>
        <v/>
      </c>
      <c r="R12" s="421" t="inlineStr">
        <is>
          <t>м.п.</t>
        </is>
      </c>
      <c r="S12" s="421" t="n"/>
      <c r="T12" s="421" t="n"/>
      <c r="U12" s="421" t="inlineStr">
        <is>
          <t>СВ-1.2</t>
        </is>
      </c>
      <c r="V12" s="421" t="n">
        <v>1</v>
      </c>
      <c r="W12" s="456" t="n">
        <v>50.83</v>
      </c>
      <c r="X12" s="456" t="n">
        <v>203.8</v>
      </c>
    </row>
    <row r="13">
      <c r="A13" s="421" t="inlineStr">
        <is>
          <t>мат.</t>
        </is>
      </c>
      <c r="B13" s="421" t="inlineStr">
        <is>
          <t>13АВ-РД-АР0.3-ПА</t>
        </is>
      </c>
      <c r="C13" s="453" t="n">
        <v>45915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Перемычки внутренних стен 200 мм</t>
        </is>
      </c>
      <c r="G13" s="487" t="inlineStr">
        <is>
          <t>Подземная автостоянка в/о П24-П48</t>
        </is>
      </c>
      <c r="H13" s="421" t="n"/>
      <c r="I13" s="421" t="n"/>
      <c r="J13" s="514">
        <f>M13</f>
        <v/>
      </c>
      <c r="K13" s="454" t="inlineStr">
        <is>
          <t>Уголок 40х5 ГОСТ 8509-93</t>
        </is>
      </c>
      <c r="L13" s="421" t="inlineStr">
        <is>
          <t>т</t>
        </is>
      </c>
      <c r="M13" s="523" t="n">
        <v>0.207</v>
      </c>
      <c r="N13" s="456" t="n"/>
      <c r="O13" s="421" t="n"/>
      <c r="P13" s="421" t="n"/>
      <c r="Q13" s="456" t="n"/>
      <c r="R13" s="421" t="n"/>
      <c r="S13" s="421" t="n"/>
      <c r="T13" s="421" t="n"/>
      <c r="U13" s="487" t="inlineStr">
        <is>
          <t>ПР-6, ПР-8, ПР-10, ПР-12, ПР-15, ПР-17. Принимается значение по спецификации, пересчет не выполняется</t>
        </is>
      </c>
      <c r="V13" s="421" t="n"/>
      <c r="W13" s="421" t="n"/>
      <c r="X13" s="421" t="n"/>
    </row>
    <row r="14">
      <c r="A14" s="421" t="inlineStr">
        <is>
          <t>мат.</t>
        </is>
      </c>
      <c r="B14" s="421" t="inlineStr">
        <is>
          <t>13АВ-РД-АР0.3-ПА</t>
        </is>
      </c>
      <c r="C14" s="453" t="n">
        <v>45915</v>
      </c>
      <c r="D14" s="421" t="inlineStr">
        <is>
          <t>Кладка</t>
        </is>
      </c>
      <c r="E14" s="421" t="inlineStr">
        <is>
          <t>БАЗА</t>
        </is>
      </c>
      <c r="F14" s="487" t="inlineStr">
        <is>
          <t>Перемычки внутренних стен 200 мм</t>
        </is>
      </c>
      <c r="G14" s="487" t="inlineStr">
        <is>
          <t>Подземная автостоянка в/о П24-П48</t>
        </is>
      </c>
      <c r="H14" s="421" t="n"/>
      <c r="I14" s="421" t="n"/>
      <c r="J14" s="514">
        <f>M14</f>
        <v/>
      </c>
      <c r="K14" s="454" t="inlineStr">
        <is>
          <t>Полоса 50х4 ГОСТ 103-2006</t>
        </is>
      </c>
      <c r="L14" s="421" t="inlineStr">
        <is>
          <t>т</t>
        </is>
      </c>
      <c r="M14" s="523" t="n">
        <v>0.02</v>
      </c>
      <c r="N14" s="456" t="n"/>
      <c r="O14" s="421" t="n"/>
      <c r="P14" s="421" t="n"/>
      <c r="Q14" s="456" t="n"/>
      <c r="R14" s="421" t="n"/>
      <c r="S14" s="421" t="n"/>
      <c r="T14" s="421" t="n"/>
      <c r="U14" s="421" t="n"/>
      <c r="V14" s="421" t="n"/>
      <c r="W14" s="421" t="n"/>
      <c r="X14" s="421" t="n"/>
    </row>
    <row r="15">
      <c r="A15" s="421" t="inlineStr">
        <is>
          <t>мат.</t>
        </is>
      </c>
      <c r="B15" s="421" t="inlineStr">
        <is>
          <t>13АВ-РД-АР0.3-ПА</t>
        </is>
      </c>
      <c r="C15" s="453" t="n">
        <v>45915</v>
      </c>
      <c r="D15" s="421" t="inlineStr">
        <is>
          <t>Кладка</t>
        </is>
      </c>
      <c r="E15" s="421" t="inlineStr">
        <is>
          <t>БАЗА</t>
        </is>
      </c>
      <c r="F15" s="487" t="inlineStr">
        <is>
          <t>Перемычки внутренних стен 200 мм</t>
        </is>
      </c>
      <c r="G15" s="487" t="inlineStr">
        <is>
          <t>Подземная автостоянка в/о П24-П48</t>
        </is>
      </c>
      <c r="H15" s="421" t="n"/>
      <c r="I15" s="421" t="n"/>
      <c r="J15" s="514">
        <f>M15</f>
        <v/>
      </c>
      <c r="K15" s="454" t="inlineStr">
        <is>
          <t>Уголок 80х6 ГОСТ 8509-93</t>
        </is>
      </c>
      <c r="L15" s="421" t="inlineStr">
        <is>
          <t>т</t>
        </is>
      </c>
      <c r="M15" s="523" t="n">
        <v>0.006</v>
      </c>
      <c r="N15" s="456" t="n"/>
      <c r="O15" s="421" t="n"/>
      <c r="P15" s="421" t="n"/>
      <c r="Q15" s="456" t="n"/>
      <c r="R15" s="421" t="n"/>
      <c r="S15" s="421" t="n"/>
      <c r="T15" s="421" t="n"/>
      <c r="U15" s="421" t="n"/>
      <c r="V15" s="421" t="n"/>
      <c r="W15" s="421" t="n"/>
      <c r="X15" s="421" t="n"/>
    </row>
    <row r="16">
      <c r="A16" s="421" t="inlineStr">
        <is>
          <t>мат.</t>
        </is>
      </c>
      <c r="B16" s="421" t="inlineStr">
        <is>
          <t>13АВ-РД-АР0.3-ПА</t>
        </is>
      </c>
      <c r="C16" s="453" t="n">
        <v>45915</v>
      </c>
      <c r="D16" s="421" t="inlineStr">
        <is>
          <t>Кладка</t>
        </is>
      </c>
      <c r="E16" s="421" t="n"/>
      <c r="F16" s="487" t="inlineStr">
        <is>
          <t>Перемычки внутренних стен 200 мм</t>
        </is>
      </c>
      <c r="G16" s="487" t="inlineStr">
        <is>
          <t>Подземная автостоянка в/о П24-П48</t>
        </is>
      </c>
      <c r="H16" s="421" t="n"/>
      <c r="I16" s="421" t="n"/>
      <c r="J16" s="514" t="n"/>
      <c r="K16" s="454" t="inlineStr">
        <is>
          <t>Анкер-шпилька Hilti HST M 10х100</t>
        </is>
      </c>
      <c r="L16" s="421" t="inlineStr">
        <is>
          <t>шт</t>
        </is>
      </c>
      <c r="M16" s="523" t="n">
        <v>12</v>
      </c>
      <c r="N16" s="456" t="n"/>
      <c r="O16" s="421" t="n"/>
      <c r="P16" s="421" t="n"/>
      <c r="Q16" s="456" t="n"/>
      <c r="R16" s="421" t="n"/>
      <c r="S16" s="421" t="n"/>
      <c r="T16" s="421" t="n"/>
      <c r="U16" s="421" t="n"/>
      <c r="V16" s="421" t="n"/>
      <c r="W16" s="421" t="n"/>
      <c r="X16" s="421" t="n"/>
    </row>
    <row r="17">
      <c r="A17" s="495" t="inlineStr">
        <is>
          <t>мат.</t>
        </is>
      </c>
      <c r="B17" s="495" t="inlineStr">
        <is>
          <t>13АВ-РД-АР0.3-ПА</t>
        </is>
      </c>
      <c r="C17" s="496" t="n">
        <v>45915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Внутренние стены из газобетонных блоков D600 150 мм</t>
        </is>
      </c>
      <c r="G17" s="497" t="inlineStr">
        <is>
          <t>Подземная автостоянка в/о П24-П48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150 мм ГОСТ 31359-2024</t>
        </is>
      </c>
      <c r="L17" s="495" t="inlineStr">
        <is>
          <t>м3</t>
        </is>
      </c>
      <c r="M17" s="495" t="n">
        <v>5.72</v>
      </c>
      <c r="N17" s="520">
        <f>SUM(W17:X17)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м3</t>
        </is>
      </c>
      <c r="S17" s="495" t="n"/>
      <c r="T17" s="495" t="n"/>
      <c r="U17" s="495" t="inlineStr">
        <is>
          <t>СВ-1.3</t>
        </is>
      </c>
      <c r="V17" s="495" t="n">
        <v>1</v>
      </c>
      <c r="W17" s="495" t="n"/>
      <c r="X17" s="495" t="n">
        <v>11.76</v>
      </c>
    </row>
    <row r="18">
      <c r="A18" s="421" t="n"/>
      <c r="B18" s="421" t="inlineStr">
        <is>
          <t>13АВ-РД-АР0.3-ПА</t>
        </is>
      </c>
      <c r="C18" s="453" t="n">
        <v>45915</v>
      </c>
      <c r="D18" s="421" t="inlineStr">
        <is>
          <t>Кладка</t>
        </is>
      </c>
      <c r="E18" s="421" t="n"/>
      <c r="F18" s="487" t="inlineStr">
        <is>
          <t>Внутренние стены из газобетонных блоков D600 150 мм</t>
        </is>
      </c>
      <c r="G18" s="487" t="inlineStr">
        <is>
          <t>Подземная автостоянка в/о П24-П48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20">
        <f>SUM(W18:X18)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СВ-1.3</t>
        </is>
      </c>
      <c r="V18" s="421" t="n">
        <v>1</v>
      </c>
      <c r="W18" s="456" t="n"/>
      <c r="X18" s="456" t="n">
        <v>14.3</v>
      </c>
    </row>
    <row r="19">
      <c r="A19" s="421" t="inlineStr">
        <is>
          <t>мат.</t>
        </is>
      </c>
      <c r="B19" s="421" t="inlineStr">
        <is>
          <t>13АВ-РД-АР0.3-ПА</t>
        </is>
      </c>
      <c r="C19" s="453" t="n">
        <v>45915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Перемычки внутренних стен 150 мм</t>
        </is>
      </c>
      <c r="G19" s="487" t="inlineStr">
        <is>
          <t>Подземная автостоянка в/о П24-П48</t>
        </is>
      </c>
      <c r="H19" s="421" t="n"/>
      <c r="I19" s="421" t="n"/>
      <c r="J19" s="514">
        <f>M19</f>
        <v/>
      </c>
      <c r="K19" s="454" t="inlineStr">
        <is>
          <t>Уголок 40х5 ГОСТ 8509-93</t>
        </is>
      </c>
      <c r="L19" s="421" t="inlineStr">
        <is>
          <t>т</t>
        </is>
      </c>
      <c r="M19" s="523" t="n">
        <v>0.0054</v>
      </c>
      <c r="N19" s="456" t="n"/>
      <c r="O19" s="421" t="n"/>
      <c r="P19" s="421" t="n"/>
      <c r="Q19" s="456" t="n"/>
      <c r="R19" s="421" t="n"/>
      <c r="S19" s="421" t="n"/>
      <c r="T19" s="421" t="n"/>
      <c r="U19" s="487" t="inlineStr">
        <is>
          <t>ПР-1. Принимается значение по спецификации, пересчет не выполняется</t>
        </is>
      </c>
      <c r="V19" s="421" t="n"/>
      <c r="W19" s="421" t="n"/>
      <c r="X19" s="421" t="n"/>
    </row>
    <row r="20">
      <c r="A20" s="421" t="inlineStr">
        <is>
          <t>мат.</t>
        </is>
      </c>
      <c r="B20" s="421" t="inlineStr">
        <is>
          <t>13АВ-РД-АР0.3-ПА</t>
        </is>
      </c>
      <c r="C20" s="453" t="n">
        <v>45915</v>
      </c>
      <c r="D20" s="421" t="inlineStr">
        <is>
          <t>Кладка</t>
        </is>
      </c>
      <c r="E20" s="421" t="inlineStr">
        <is>
          <t>БАЗА</t>
        </is>
      </c>
      <c r="F20" s="487" t="inlineStr">
        <is>
          <t>Перемычки внутренних стен 150 мм</t>
        </is>
      </c>
      <c r="G20" s="487" t="inlineStr">
        <is>
          <t>Подземная автостоянка в/о П24-П48</t>
        </is>
      </c>
      <c r="H20" s="421" t="n"/>
      <c r="I20" s="421" t="n"/>
      <c r="J20" s="514">
        <f>M20</f>
        <v/>
      </c>
      <c r="K20" s="454" t="inlineStr">
        <is>
          <t>Полоса 50х4 ГОСТ 103-2006</t>
        </is>
      </c>
      <c r="L20" s="421" t="inlineStr">
        <is>
          <t>т</t>
        </is>
      </c>
      <c r="M20" s="523" t="n">
        <v>0.0005</v>
      </c>
      <c r="N20" s="456" t="n"/>
      <c r="O20" s="421" t="n"/>
      <c r="P20" s="421" t="n"/>
      <c r="Q20" s="456" t="n"/>
      <c r="R20" s="421" t="n"/>
      <c r="S20" s="421" t="n"/>
      <c r="T20" s="421" t="n"/>
      <c r="U20" s="487" t="inlineStr">
        <is>
          <t>ПР-1. Принимается значение по спецификации, пересчет не выполняется</t>
        </is>
      </c>
      <c r="V20" s="421" t="n"/>
      <c r="W20" s="421" t="n"/>
      <c r="X20" s="421" t="n"/>
    </row>
    <row r="21">
      <c r="A21" s="495" t="inlineStr">
        <is>
          <t>мат.</t>
        </is>
      </c>
      <c r="B21" s="495" t="inlineStr">
        <is>
          <t>13АВ-РД-АР0.3-ПА</t>
        </is>
      </c>
      <c r="C21" s="496" t="n">
        <v>45915</v>
      </c>
      <c r="D21" s="495" t="inlineStr">
        <is>
          <t>Кладка</t>
        </is>
      </c>
      <c r="E21" s="495" t="inlineStr">
        <is>
          <t>БАЗА</t>
        </is>
      </c>
      <c r="F21" s="497" t="inlineStr">
        <is>
          <t>Перегородки из газобетонных блоков 100 мм</t>
        </is>
      </c>
      <c r="G21" s="497" t="inlineStr">
        <is>
          <t>Подземная автостоянка в/о П24-П48</t>
        </is>
      </c>
      <c r="H21" s="495" t="n"/>
      <c r="I21" s="495" t="n"/>
      <c r="J21" s="498">
        <f>Q21</f>
        <v/>
      </c>
      <c r="K21" s="499" t="inlineStr">
        <is>
          <t>Газобетонные блоки D600 толщиной 100 мм ГОСТ 31359-2024</t>
        </is>
      </c>
      <c r="L21" s="495" t="inlineStr">
        <is>
          <t>м2</t>
        </is>
      </c>
      <c r="M21" s="495">
        <f>274.39-66.47</f>
        <v/>
      </c>
      <c r="N21" s="520">
        <f>SUM(W21:X21)</f>
        <v/>
      </c>
      <c r="O21" s="495" t="n">
        <v>0</v>
      </c>
      <c r="P21" s="495" t="n">
        <v>0</v>
      </c>
      <c r="Q21" s="502">
        <f>N21*V21</f>
        <v/>
      </c>
      <c r="R21" s="495" t="inlineStr">
        <is>
          <t>м2</t>
        </is>
      </c>
      <c r="S21" s="495" t="n"/>
      <c r="T21" s="495" t="n"/>
      <c r="U21" s="497" t="inlineStr">
        <is>
          <t>СВ-1.4. В спецификации РД некорректный объем</t>
        </is>
      </c>
      <c r="V21" s="495" t="n">
        <v>1</v>
      </c>
      <c r="W21" s="495" t="n"/>
      <c r="X21" s="495" t="n">
        <v>506.8</v>
      </c>
    </row>
    <row r="22">
      <c r="A22" s="421" t="n"/>
      <c r="B22" s="421" t="inlineStr">
        <is>
          <t>13АВ-РД-АР0.3-ПА</t>
        </is>
      </c>
      <c r="C22" s="453" t="n">
        <v>45915</v>
      </c>
      <c r="D22" s="421" t="inlineStr">
        <is>
          <t>Кладка</t>
        </is>
      </c>
      <c r="E22" s="421" t="n"/>
      <c r="F22" s="487" t="inlineStr">
        <is>
          <t>Перегородки из газобетонных блоков 100 мм</t>
        </is>
      </c>
      <c r="G22" s="487" t="inlineStr">
        <is>
          <t>Подземная автостоянка в/о П24-П48</t>
        </is>
      </c>
      <c r="H22" s="421" t="n"/>
      <c r="I22" s="421" t="n"/>
      <c r="J22" s="514" t="n"/>
      <c r="K22" s="454" t="inlineStr">
        <is>
          <t>Примыкание к перекрытию</t>
        </is>
      </c>
      <c r="L22" s="421" t="inlineStr">
        <is>
          <t>м.п.</t>
        </is>
      </c>
      <c r="M22" s="421" t="n">
        <v>0</v>
      </c>
      <c r="N22" s="456">
        <f>SUM(W22:X22)</f>
        <v/>
      </c>
      <c r="O22" s="421" t="n">
        <v>0</v>
      </c>
      <c r="P22" s="421" t="n">
        <v>0</v>
      </c>
      <c r="Q22" s="456">
        <f>N22*V22</f>
        <v/>
      </c>
      <c r="R22" s="421" t="inlineStr">
        <is>
          <t>м.п.</t>
        </is>
      </c>
      <c r="S22" s="421" t="n"/>
      <c r="T22" s="421" t="n"/>
      <c r="U22" s="421" t="inlineStr">
        <is>
          <t>СВ-1.4</t>
        </is>
      </c>
      <c r="V22" s="421" t="n">
        <v>1</v>
      </c>
      <c r="W22" s="456" t="n"/>
      <c r="X22" s="456" t="n">
        <v>234.2</v>
      </c>
    </row>
    <row r="23">
      <c r="A23" s="421" t="inlineStr">
        <is>
          <t>мат.</t>
        </is>
      </c>
      <c r="B23" s="421" t="inlineStr">
        <is>
          <t>13АВ-РД-АР0.3-ПА</t>
        </is>
      </c>
      <c r="C23" s="453" t="n">
        <v>45915</v>
      </c>
      <c r="D23" s="421" t="inlineStr">
        <is>
          <t>Кладка</t>
        </is>
      </c>
      <c r="E23" s="421" t="inlineStr">
        <is>
          <t>БАЗА</t>
        </is>
      </c>
      <c r="F23" s="487" t="inlineStr">
        <is>
          <t>Перемычки внутренних стен 100 мм</t>
        </is>
      </c>
      <c r="G23" s="487" t="inlineStr">
        <is>
          <t>Подземная автостоянка в/о П24-П48</t>
        </is>
      </c>
      <c r="H23" s="421" t="n"/>
      <c r="I23" s="421" t="n"/>
      <c r="J23" s="514">
        <f>M23</f>
        <v/>
      </c>
      <c r="K23" s="454" t="inlineStr">
        <is>
          <t>Уголок 40х5 ГОСТ 8509-93</t>
        </is>
      </c>
      <c r="L23" s="421" t="inlineStr">
        <is>
          <t>т</t>
        </is>
      </c>
      <c r="M23" s="523" t="n">
        <v>0.376</v>
      </c>
      <c r="N23" s="456" t="n"/>
      <c r="O23" s="421" t="n"/>
      <c r="P23" s="421" t="n"/>
      <c r="Q23" s="456" t="n"/>
      <c r="R23" s="421" t="n"/>
      <c r="S23" s="421" t="n"/>
      <c r="T23" s="421" t="n"/>
      <c r="U23" s="487" t="inlineStr">
        <is>
          <t>ПР-3, ПР-4, ПР-5. Принимается значение по спецификации, пересчет не выполняется</t>
        </is>
      </c>
      <c r="V23" s="421" t="n"/>
      <c r="W23" s="421" t="n"/>
      <c r="X23" s="421" t="n"/>
    </row>
    <row r="24">
      <c r="A24" s="421" t="inlineStr">
        <is>
          <t>мат.</t>
        </is>
      </c>
      <c r="B24" s="421" t="inlineStr">
        <is>
          <t>13АВ-РД-АР0.3-ПА</t>
        </is>
      </c>
      <c r="C24" s="453" t="n">
        <v>45915</v>
      </c>
      <c r="D24" s="421" t="inlineStr">
        <is>
          <t>Кладка</t>
        </is>
      </c>
      <c r="E24" s="421" t="inlineStr">
        <is>
          <t>БАЗА</t>
        </is>
      </c>
      <c r="F24" s="487" t="inlineStr">
        <is>
          <t>Перемычки внутренних стен 100 мм</t>
        </is>
      </c>
      <c r="G24" s="487" t="inlineStr">
        <is>
          <t>Подземная автостоянка в/о П24-П48</t>
        </is>
      </c>
      <c r="H24" s="421" t="n"/>
      <c r="I24" s="421" t="n"/>
      <c r="J24" s="514">
        <f>M24</f>
        <v/>
      </c>
      <c r="K24" s="454" t="inlineStr">
        <is>
          <t>Полоса 50х4 ГОСТ 103-2006</t>
        </is>
      </c>
      <c r="L24" s="421" t="inlineStr">
        <is>
          <t>т</t>
        </is>
      </c>
      <c r="M24" s="523" t="n">
        <v>0.016</v>
      </c>
      <c r="N24" s="456" t="n"/>
      <c r="O24" s="421" t="n"/>
      <c r="P24" s="421" t="n"/>
      <c r="Q24" s="456" t="n"/>
      <c r="R24" s="421" t="n"/>
      <c r="S24" s="421" t="n"/>
      <c r="T24" s="421" t="n"/>
      <c r="U24" s="487" t="inlineStr">
        <is>
          <t>ПР-3, ПР-4, ПР-5. Принимается значение по спецификации, пересчет не выполняется</t>
        </is>
      </c>
      <c r="V24" s="421" t="n"/>
      <c r="W24" s="421" t="n"/>
      <c r="X24" s="421" t="n"/>
    </row>
    <row r="25">
      <c r="A25" s="495" t="inlineStr">
        <is>
          <t>мат.</t>
        </is>
      </c>
      <c r="B25" s="495" t="inlineStr">
        <is>
          <t>13АВ-РД-АР0.3-ПА</t>
        </is>
      </c>
      <c r="C25" s="496" t="n">
        <v>45915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Шахты из газобетонного блока 100 м</t>
        </is>
      </c>
      <c r="G25" s="497" t="inlineStr">
        <is>
          <t>Подземная автостоянка в/о П24-П48</t>
        </is>
      </c>
      <c r="H25" s="495" t="n"/>
      <c r="I25" s="495" t="n"/>
      <c r="J25" s="498">
        <f>Q25</f>
        <v/>
      </c>
      <c r="K25" s="499" t="inlineStr">
        <is>
          <t>Газобетонные блоки D600 толщиной 100 мм ГОСТ 31359-2024</t>
        </is>
      </c>
      <c r="L25" s="495" t="inlineStr">
        <is>
          <t>м2</t>
        </is>
      </c>
      <c r="M25" s="495" t="n">
        <v>66.47</v>
      </c>
      <c r="N25" s="520">
        <f>SUM(W25:X25)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СВ-1.4</t>
        </is>
      </c>
      <c r="V25" s="495" t="n">
        <v>1</v>
      </c>
      <c r="W25" s="495" t="n"/>
      <c r="X25" s="495" t="n">
        <v>66.47</v>
      </c>
    </row>
    <row r="26">
      <c r="A26" s="421" t="n"/>
      <c r="B26" s="421" t="inlineStr">
        <is>
          <t>13АВ-РД-АР0.3-ПА</t>
        </is>
      </c>
      <c r="C26" s="453" t="n">
        <v>45915</v>
      </c>
      <c r="D26" s="421" t="inlineStr">
        <is>
          <t>Кладка</t>
        </is>
      </c>
      <c r="E26" s="421" t="n"/>
      <c r="F26" s="487" t="inlineStr">
        <is>
          <t>Шахты из газобетонного блока 100 м</t>
        </is>
      </c>
      <c r="G26" s="487" t="inlineStr">
        <is>
          <t>Подземная автостоянка в/о П24-П48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456">
        <f>SUM(W26:X26)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СВ-1.4</t>
        </is>
      </c>
      <c r="V26" s="421" t="n">
        <v>1</v>
      </c>
      <c r="W26" s="456" t="n"/>
      <c r="X26" s="456" t="n">
        <v>12.15</v>
      </c>
    </row>
    <row r="27">
      <c r="A27" s="495" t="inlineStr">
        <is>
          <t>мат.</t>
        </is>
      </c>
      <c r="B27" s="495" t="inlineStr">
        <is>
          <t>13АВ-РД-АР0.3-ПА</t>
        </is>
      </c>
      <c r="C27" s="496" t="n">
        <v>45915</v>
      </c>
      <c r="D27" s="495" t="inlineStr">
        <is>
          <t>Кладка</t>
        </is>
      </c>
      <c r="E27" s="495" t="inlineStr">
        <is>
          <t>БАЗА</t>
        </is>
      </c>
      <c r="F27" s="497" t="inlineStr">
        <is>
          <t>Внутренние стены из газобетонных блоков D600 300 мм</t>
        </is>
      </c>
      <c r="G27" s="497" t="inlineStr">
        <is>
          <t>Подземная автостоянка в/о П24-П48</t>
        </is>
      </c>
      <c r="H27" s="495" t="n"/>
      <c r="I27" s="495" t="n"/>
      <c r="J27" s="498">
        <f>Q27</f>
        <v/>
      </c>
      <c r="K27" s="499" t="inlineStr">
        <is>
          <t>Газобетонные блоки D600 толщиной 300 мм ГОСТ 31359-2024</t>
        </is>
      </c>
      <c r="L27" s="495" t="inlineStr">
        <is>
          <t>м3</t>
        </is>
      </c>
      <c r="M27" s="495" t="n">
        <v>1.48</v>
      </c>
      <c r="N27" s="520">
        <f>SUM(W27:X27)</f>
        <v/>
      </c>
      <c r="O27" s="495" t="n">
        <v>0</v>
      </c>
      <c r="P27" s="495" t="n">
        <v>0</v>
      </c>
      <c r="Q27" s="502">
        <f>N27*V27</f>
        <v/>
      </c>
      <c r="R27" s="495" t="inlineStr">
        <is>
          <t>м3</t>
        </is>
      </c>
      <c r="S27" s="495" t="n"/>
      <c r="T27" s="495" t="n"/>
      <c r="U27" s="495" t="inlineStr">
        <is>
          <t>СВ-1.5</t>
        </is>
      </c>
      <c r="V27" s="495" t="n">
        <v>1</v>
      </c>
      <c r="W27" s="495" t="n">
        <v>0.08</v>
      </c>
      <c r="X27" s="495" t="n">
        <v>2.66</v>
      </c>
    </row>
    <row r="28">
      <c r="A28" s="421" t="n"/>
      <c r="B28" s="421" t="inlineStr">
        <is>
          <t>13АВ-РД-АР0.3-ПА</t>
        </is>
      </c>
      <c r="C28" s="453" t="n">
        <v>45915</v>
      </c>
      <c r="D28" s="421" t="inlineStr">
        <is>
          <t>Кладка</t>
        </is>
      </c>
      <c r="E28" s="421" t="n"/>
      <c r="F28" s="487" t="inlineStr">
        <is>
          <t>Внутренние стены из газобетонных блоков D600 300 мм</t>
        </is>
      </c>
      <c r="G28" s="487" t="inlineStr">
        <is>
          <t>Подземная автостоянка в/о П24-П48</t>
        </is>
      </c>
      <c r="H28" s="421" t="n"/>
      <c r="I28" s="421" t="n"/>
      <c r="J28" s="514" t="n"/>
      <c r="K28" s="454" t="inlineStr">
        <is>
          <t>Примыкание к перекрытию</t>
        </is>
      </c>
      <c r="L28" s="421" t="inlineStr">
        <is>
          <t>м.п.</t>
        </is>
      </c>
      <c r="M28" s="421" t="n">
        <v>0</v>
      </c>
      <c r="N28" s="456">
        <f>SUM(W28:X28)</f>
        <v/>
      </c>
      <c r="O28" s="421" t="n">
        <v>0</v>
      </c>
      <c r="P28" s="421" t="n">
        <v>0</v>
      </c>
      <c r="Q28" s="456">
        <f>N28*V28</f>
        <v/>
      </c>
      <c r="R28" s="421" t="inlineStr">
        <is>
          <t>м.п.</t>
        </is>
      </c>
      <c r="S28" s="421" t="n"/>
      <c r="T28" s="421" t="n"/>
      <c r="U28" s="421" t="inlineStr">
        <is>
          <t>СВ-1.5</t>
        </is>
      </c>
      <c r="V28" s="421" t="n">
        <v>1</v>
      </c>
      <c r="W28" s="456" t="n">
        <v>0.1</v>
      </c>
      <c r="X28" s="456" t="n">
        <v>1.97</v>
      </c>
    </row>
    <row r="29">
      <c r="A29" s="421" t="inlineStr">
        <is>
          <t>мат.</t>
        </is>
      </c>
      <c r="B29" s="421" t="inlineStr">
        <is>
          <t>13АВ-РД-АР0.3-ПА</t>
        </is>
      </c>
      <c r="C29" s="453" t="n">
        <v>45915</v>
      </c>
      <c r="D29" s="421" t="inlineStr">
        <is>
          <t>Кладка</t>
        </is>
      </c>
      <c r="E29" s="421" t="inlineStr">
        <is>
          <t>БАЗА</t>
        </is>
      </c>
      <c r="F29" s="487" t="inlineStr">
        <is>
          <t>Перемычки внутренних стен 300 мм</t>
        </is>
      </c>
      <c r="G29" s="487" t="inlineStr">
        <is>
          <t>Подземная автостоянка в/о П24-П48</t>
        </is>
      </c>
      <c r="H29" s="421" t="n"/>
      <c r="I29" s="421" t="n"/>
      <c r="J29" s="514">
        <f>M29</f>
        <v/>
      </c>
      <c r="K29" s="454" t="inlineStr">
        <is>
          <t>Уголок 40х5 ГОСТ 8509-93</t>
        </is>
      </c>
      <c r="L29" s="421" t="inlineStr">
        <is>
          <t>т</t>
        </is>
      </c>
      <c r="M29" s="523" t="n">
        <v>0.008</v>
      </c>
      <c r="N29" s="456" t="n"/>
      <c r="O29" s="421" t="n"/>
      <c r="P29" s="421" t="n"/>
      <c r="Q29" s="456" t="n"/>
      <c r="R29" s="421" t="n"/>
      <c r="S29" s="421" t="n"/>
      <c r="T29" s="421" t="n"/>
      <c r="U29" s="487" t="inlineStr">
        <is>
          <t>ПР-14. Принимается значение по спецификации, пересчет не выполняется</t>
        </is>
      </c>
      <c r="V29" s="421" t="n"/>
      <c r="W29" s="421" t="n"/>
      <c r="X29" s="421" t="n"/>
    </row>
    <row r="30">
      <c r="A30" s="421" t="inlineStr">
        <is>
          <t>мат.</t>
        </is>
      </c>
      <c r="B30" s="421" t="inlineStr">
        <is>
          <t>13АВ-РД-АР0.3-ПА</t>
        </is>
      </c>
      <c r="C30" s="453" t="n">
        <v>45915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внутренних стен 300 мм</t>
        </is>
      </c>
      <c r="G30" s="487" t="inlineStr">
        <is>
          <t>Подземная автостоянка в/о П24-П48</t>
        </is>
      </c>
      <c r="H30" s="421" t="n"/>
      <c r="I30" s="421" t="n"/>
      <c r="J30" s="514">
        <f>M30</f>
        <v/>
      </c>
      <c r="K30" s="454" t="inlineStr">
        <is>
          <t>Полоса 50х4 ГОСТ 103-2006</t>
        </is>
      </c>
      <c r="L30" s="421" t="inlineStr">
        <is>
          <t>т</t>
        </is>
      </c>
      <c r="M30" s="523" t="n">
        <v>0.001</v>
      </c>
      <c r="N30" s="456" t="n"/>
      <c r="O30" s="421" t="n"/>
      <c r="P30" s="421" t="n"/>
      <c r="Q30" s="456" t="n"/>
      <c r="R30" s="421" t="n"/>
      <c r="S30" s="421" t="n"/>
      <c r="T30" s="421" t="n"/>
      <c r="U30" s="487" t="inlineStr">
        <is>
          <t>ПР-14. Принимается значение по спецификации, пересчет не выполняется</t>
        </is>
      </c>
      <c r="V30" s="421" t="n"/>
      <c r="W30" s="421" t="n"/>
      <c r="X30" s="421" t="n"/>
    </row>
    <row r="31">
      <c r="A31" s="421" t="inlineStr">
        <is>
          <t>мат.</t>
        </is>
      </c>
      <c r="B31" s="421" t="inlineStr">
        <is>
          <t>13АВ-РД-АР0.3-ПА</t>
        </is>
      </c>
      <c r="C31" s="453" t="n">
        <v>45915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Перемычки внутренних стен 300 мм</t>
        </is>
      </c>
      <c r="G31" s="487" t="inlineStr">
        <is>
          <t>Подземная автостоянка в/о П24-П48</t>
        </is>
      </c>
      <c r="H31" s="421" t="n"/>
      <c r="I31" s="421" t="n"/>
      <c r="J31" s="514">
        <f>M31</f>
        <v/>
      </c>
      <c r="K31" s="454" t="inlineStr">
        <is>
          <t>Уголок 80х6 ГОСТ 8509-93</t>
        </is>
      </c>
      <c r="L31" s="421" t="inlineStr">
        <is>
          <t>т</t>
        </is>
      </c>
      <c r="M31" s="523" t="n">
        <v>0.002</v>
      </c>
      <c r="N31" s="456" t="n"/>
      <c r="O31" s="421" t="n"/>
      <c r="P31" s="421" t="n"/>
      <c r="Q31" s="456" t="n"/>
      <c r="R31" s="421" t="n"/>
      <c r="S31" s="421" t="n"/>
      <c r="T31" s="421" t="n"/>
      <c r="U31" s="487" t="inlineStr">
        <is>
          <t>ПР-14. Принимается значение по спецификации, пересчет не выполняется</t>
        </is>
      </c>
      <c r="V31" s="421" t="n"/>
      <c r="W31" s="421" t="n"/>
      <c r="X31" s="421" t="n"/>
    </row>
    <row r="32">
      <c r="A32" s="421" t="inlineStr">
        <is>
          <t>мат.</t>
        </is>
      </c>
      <c r="B32" s="421" t="inlineStr">
        <is>
          <t>13АВ-РД-АР0.3-ПА</t>
        </is>
      </c>
      <c r="C32" s="453" t="n">
        <v>45915</v>
      </c>
      <c r="D32" s="421" t="inlineStr">
        <is>
          <t>Кладка</t>
        </is>
      </c>
      <c r="E32" s="421" t="n"/>
      <c r="F32" s="487" t="inlineStr">
        <is>
          <t>Перемычки внутренних стен 300 мм</t>
        </is>
      </c>
      <c r="G32" s="487" t="inlineStr">
        <is>
          <t>Подземная автостоянка в/о П24-П48</t>
        </is>
      </c>
      <c r="H32" s="421" t="n"/>
      <c r="I32" s="421" t="n"/>
      <c r="J32" s="514" t="n"/>
      <c r="K32" s="454" t="inlineStr">
        <is>
          <t>Анкер-шпилька Hilti HST M 10х100</t>
        </is>
      </c>
      <c r="L32" s="421" t="inlineStr">
        <is>
          <t>шт</t>
        </is>
      </c>
      <c r="M32" s="523" t="n">
        <v>3</v>
      </c>
      <c r="N32" s="456" t="n"/>
      <c r="O32" s="421" t="n"/>
      <c r="P32" s="421" t="n"/>
      <c r="Q32" s="456" t="n"/>
      <c r="R32" s="421" t="n"/>
      <c r="S32" s="421" t="n"/>
      <c r="T32" s="421" t="n"/>
      <c r="U32" s="487" t="inlineStr">
        <is>
          <t>ПР-14. Принимается значение по спецификации, пересчет не выполняется</t>
        </is>
      </c>
      <c r="V32" s="421" t="n"/>
      <c r="W32" s="421" t="n"/>
      <c r="X32" s="421" t="n"/>
    </row>
    <row r="33">
      <c r="A33" s="495" t="inlineStr">
        <is>
          <t>мат.</t>
        </is>
      </c>
      <c r="B33" s="495" t="inlineStr">
        <is>
          <t>13АВ-РД-АР0.3-ПА</t>
        </is>
      </c>
      <c r="C33" s="496" t="n">
        <v>45915</v>
      </c>
      <c r="D33" s="495" t="inlineStr">
        <is>
          <t>Кладка</t>
        </is>
      </c>
      <c r="E33" s="495" t="inlineStr">
        <is>
          <t>БАЗА</t>
        </is>
      </c>
      <c r="F33" s="497" t="inlineStr">
        <is>
          <t>Внутренние стены из газобетонных блоков D600 400 мм</t>
        </is>
      </c>
      <c r="G33" s="497" t="inlineStr">
        <is>
          <t>Подземная автостоянка в/о П24-П48</t>
        </is>
      </c>
      <c r="H33" s="495" t="n"/>
      <c r="I33" s="495" t="n"/>
      <c r="J33" s="498">
        <f>Q33</f>
        <v/>
      </c>
      <c r="K33" s="499" t="inlineStr">
        <is>
          <t>Газобетонные блоки D600 толщиной 400 мм ГОСТ 31359-2024</t>
        </is>
      </c>
      <c r="L33" s="495" t="inlineStr">
        <is>
          <t>м3</t>
        </is>
      </c>
      <c r="M33" s="495" t="n">
        <v>1.41</v>
      </c>
      <c r="N33" s="502">
        <f>SUM(W33:X33)</f>
        <v/>
      </c>
      <c r="O33" s="495" t="n">
        <v>0</v>
      </c>
      <c r="P33" s="495" t="n">
        <v>0</v>
      </c>
      <c r="Q33" s="502">
        <f>N33*V33</f>
        <v/>
      </c>
      <c r="R33" s="495" t="inlineStr">
        <is>
          <t>м3</t>
        </is>
      </c>
      <c r="S33" s="495" t="n"/>
      <c r="T33" s="495" t="n"/>
      <c r="U33" s="495" t="inlineStr">
        <is>
          <t>СВ-1.6</t>
        </is>
      </c>
      <c r="V33" s="495" t="n">
        <v>1</v>
      </c>
      <c r="W33" s="495" t="n"/>
      <c r="X33" s="495" t="n">
        <v>3.3</v>
      </c>
    </row>
    <row r="34">
      <c r="A34" s="421" t="n"/>
      <c r="B34" s="421" t="inlineStr">
        <is>
          <t>13АВ-РД-АР0.3-ПА</t>
        </is>
      </c>
      <c r="C34" s="453" t="n">
        <v>45915</v>
      </c>
      <c r="D34" s="421" t="inlineStr">
        <is>
          <t>Кладка</t>
        </is>
      </c>
      <c r="E34" s="421" t="n"/>
      <c r="F34" s="487" t="inlineStr">
        <is>
          <t>Внутренние стены из газобетонных блоков D600 400 мм</t>
        </is>
      </c>
      <c r="G34" s="487" t="inlineStr">
        <is>
          <t>Подземная автостоянка в/о П24-П48</t>
        </is>
      </c>
      <c r="H34" s="421" t="n"/>
      <c r="I34" s="421" t="n"/>
      <c r="J34" s="514" t="n"/>
      <c r="K34" s="454" t="inlineStr">
        <is>
          <t>Примыкание к перекрытию</t>
        </is>
      </c>
      <c r="L34" s="421" t="inlineStr">
        <is>
          <t>м.п.</t>
        </is>
      </c>
      <c r="M34" s="421" t="n">
        <v>0</v>
      </c>
      <c r="N34" s="456">
        <f>SUM(W34:X34)</f>
        <v/>
      </c>
      <c r="O34" s="421" t="n">
        <v>0</v>
      </c>
      <c r="P34" s="421" t="n">
        <v>0</v>
      </c>
      <c r="Q34" s="456">
        <f>N34*V34</f>
        <v/>
      </c>
      <c r="R34" s="421" t="inlineStr">
        <is>
          <t>м.п.</t>
        </is>
      </c>
      <c r="S34" s="421" t="n"/>
      <c r="T34" s="421" t="n"/>
      <c r="U34" s="421" t="inlineStr">
        <is>
          <t>СВ-1.6</t>
        </is>
      </c>
      <c r="V34" s="421" t="n">
        <v>1</v>
      </c>
      <c r="W34" s="456" t="n"/>
      <c r="X34" s="456" t="n">
        <v>2.39</v>
      </c>
    </row>
    <row r="35">
      <c r="A35" s="495" t="inlineStr">
        <is>
          <t>мат.</t>
        </is>
      </c>
      <c r="B35" s="495" t="inlineStr">
        <is>
          <t>13АВ-РД-АР0.3-ПА</t>
        </is>
      </c>
      <c r="C35" s="496" t="n">
        <v>45915</v>
      </c>
      <c r="D35" s="495" t="inlineStr">
        <is>
          <t>Кладка</t>
        </is>
      </c>
      <c r="E35" s="495" t="inlineStr">
        <is>
          <t>БАЗА</t>
        </is>
      </c>
      <c r="F35" s="497" t="inlineStr">
        <is>
          <t>Внутренние стены из бетонных камней 190 мм</t>
        </is>
      </c>
      <c r="G35" s="497" t="inlineStr">
        <is>
          <t>Подземная автостоянка в/о П24-П48</t>
        </is>
      </c>
      <c r="H35" s="495" t="n"/>
      <c r="I35" s="495" t="n"/>
      <c r="J35" s="498">
        <f>Q35</f>
        <v/>
      </c>
      <c r="K35" s="499" t="inlineStr">
        <is>
          <t>Камни бетонные полнотелые толщиной 190 мм ГОСТ 6133-2019</t>
        </is>
      </c>
      <c r="L35" s="495" t="inlineStr">
        <is>
          <t>м3</t>
        </is>
      </c>
      <c r="M35" s="495" t="n">
        <v>4.64</v>
      </c>
      <c r="N35" s="520">
        <f>SUM(W35:AW35)</f>
        <v/>
      </c>
      <c r="O35" s="495" t="n">
        <v>0</v>
      </c>
      <c r="P35" s="495" t="n">
        <v>0</v>
      </c>
      <c r="Q35" s="502">
        <f>N35*V35</f>
        <v/>
      </c>
      <c r="R35" s="495" t="inlineStr">
        <is>
          <t>м3</t>
        </is>
      </c>
      <c r="S35" s="495" t="n"/>
      <c r="T35" s="495" t="n"/>
      <c r="U35" s="495" t="inlineStr">
        <is>
          <t>СВ-3.1</t>
        </is>
      </c>
      <c r="V35" s="495" t="n">
        <v>1</v>
      </c>
      <c r="W35" s="495" t="n"/>
      <c r="X35" s="495" t="n">
        <v>4.64</v>
      </c>
    </row>
    <row r="36">
      <c r="A36" s="421" t="n"/>
      <c r="B36" s="421" t="inlineStr">
        <is>
          <t>13АВ-РД-АР0.3-ПА</t>
        </is>
      </c>
      <c r="C36" s="453" t="n">
        <v>45915</v>
      </c>
      <c r="D36" s="421" t="inlineStr">
        <is>
          <t>Кладка</t>
        </is>
      </c>
      <c r="E36" s="421" t="n"/>
      <c r="F36" s="487" t="inlineStr">
        <is>
          <t>Внутренние стены из бетонных камней 190 мм</t>
        </is>
      </c>
      <c r="G36" s="487" t="inlineStr">
        <is>
          <t>Подземная автостоянка в/о П24-П48</t>
        </is>
      </c>
      <c r="H36" s="421" t="n"/>
      <c r="I36" s="421" t="n"/>
      <c r="J36" s="514" t="n"/>
      <c r="K36" s="454" t="inlineStr">
        <is>
          <t>Примыкание к перекрытию</t>
        </is>
      </c>
      <c r="L36" s="421" t="inlineStr">
        <is>
          <t>м.п.</t>
        </is>
      </c>
      <c r="M36" s="421" t="n">
        <v>0</v>
      </c>
      <c r="N36" s="456">
        <f>SUM(W36:AW36)</f>
        <v/>
      </c>
      <c r="O36" s="421" t="n">
        <v>0</v>
      </c>
      <c r="P36" s="421" t="n">
        <v>0</v>
      </c>
      <c r="Q36" s="456">
        <f>N36*V36</f>
        <v/>
      </c>
      <c r="R36" s="421" t="inlineStr">
        <is>
          <t>м.п.</t>
        </is>
      </c>
      <c r="S36" s="421" t="n"/>
      <c r="T36" s="421" t="n"/>
      <c r="U36" s="421" t="inlineStr">
        <is>
          <t>СВ-3.1</t>
        </is>
      </c>
      <c r="V36" s="421" t="n">
        <v>1</v>
      </c>
      <c r="W36" s="456" t="n"/>
      <c r="X36" s="456" t="n">
        <v>16.9</v>
      </c>
    </row>
    <row r="37">
      <c r="A37" s="421" t="inlineStr">
        <is>
          <t>мат.</t>
        </is>
      </c>
      <c r="B37" s="421" t="inlineStr">
        <is>
          <t>13АВ-РД-АР0.3-ПА</t>
        </is>
      </c>
      <c r="C37" s="453" t="n">
        <v>45915</v>
      </c>
      <c r="D37" s="421" t="inlineStr">
        <is>
          <t>Кладка</t>
        </is>
      </c>
      <c r="E37" s="421" t="inlineStr">
        <is>
          <t>БАЗА</t>
        </is>
      </c>
      <c r="F37" s="487" t="inlineStr">
        <is>
          <t>Перемычки внутренних стен 190 мм</t>
        </is>
      </c>
      <c r="G37" s="487" t="inlineStr">
        <is>
          <t>Подземная автостоянка в/о П24-П48</t>
        </is>
      </c>
      <c r="H37" s="421" t="n"/>
      <c r="I37" s="421" t="n"/>
      <c r="J37" s="514">
        <f>M37</f>
        <v/>
      </c>
      <c r="K37" s="454" t="inlineStr">
        <is>
          <t>Полигран 1ПБ14-1 КПР-ПР-140-350-2200 ГОСТ 6133-2019</t>
        </is>
      </c>
      <c r="L37" s="421" t="inlineStr">
        <is>
          <t>шт</t>
        </is>
      </c>
      <c r="M37" s="421" t="n">
        <v>5</v>
      </c>
      <c r="N37" s="456" t="n"/>
      <c r="O37" s="421" t="n"/>
      <c r="P37" s="421" t="n"/>
      <c r="Q37" s="456" t="n"/>
      <c r="R37" s="421" t="n"/>
      <c r="S37" s="421" t="n"/>
      <c r="T37" s="421" t="n"/>
      <c r="U37" s="487" t="inlineStr">
        <is>
          <t>ПР-19. Принимается значение по спецификации, пересчет не выполняется</t>
        </is>
      </c>
      <c r="V37" s="421" t="n"/>
      <c r="W37" s="421" t="n"/>
      <c r="X37" s="421" t="n"/>
    </row>
    <row r="38">
      <c r="A38" s="421" t="inlineStr">
        <is>
          <t>мат.</t>
        </is>
      </c>
      <c r="B38" s="421" t="inlineStr">
        <is>
          <t>13АВ-РД-АР0.3-ПА</t>
        </is>
      </c>
      <c r="C38" s="453" t="n">
        <v>45915</v>
      </c>
      <c r="D38" s="421" t="inlineStr">
        <is>
          <t>Кладка</t>
        </is>
      </c>
      <c r="E38" s="421" t="inlineStr">
        <is>
          <t>БАЗА</t>
        </is>
      </c>
      <c r="F38" s="487" t="inlineStr">
        <is>
          <t>Перемычки внутренних стен 190 мм</t>
        </is>
      </c>
      <c r="G38" s="487" t="inlineStr">
        <is>
          <t>Подземная автостоянка в/о П24-П48</t>
        </is>
      </c>
      <c r="H38" s="421" t="n"/>
      <c r="I38" s="421" t="n"/>
      <c r="J38" s="514">
        <f>M38</f>
        <v/>
      </c>
      <c r="K38" s="454" t="inlineStr">
        <is>
          <t>Полигран 1ПБ17-1 КПР-ПР-170-350-2200 ГОСТ 6133-2019</t>
        </is>
      </c>
      <c r="L38" s="421" t="inlineStr">
        <is>
          <t>шт</t>
        </is>
      </c>
      <c r="M38" s="421" t="n">
        <v>3</v>
      </c>
      <c r="N38" s="456" t="n"/>
      <c r="O38" s="421" t="n"/>
      <c r="P38" s="421" t="n"/>
      <c r="Q38" s="456" t="n"/>
      <c r="R38" s="421" t="n"/>
      <c r="S38" s="421" t="n"/>
      <c r="T38" s="421" t="n"/>
      <c r="U38" s="487" t="inlineStr">
        <is>
          <t>ПР-20. Принимается значение по спецификации, пересчет не выполняется</t>
        </is>
      </c>
      <c r="V38" s="421" t="n"/>
      <c r="W38" s="421" t="n"/>
      <c r="X38" s="421" t="n"/>
    </row>
    <row r="39">
      <c r="A39" s="495" t="inlineStr">
        <is>
          <t>мат.</t>
        </is>
      </c>
      <c r="B39" s="495" t="inlineStr">
        <is>
          <t>13АВ-РД-АР0.3-ПА</t>
        </is>
      </c>
      <c r="C39" s="496" t="n">
        <v>45915</v>
      </c>
      <c r="D39" s="495" t="inlineStr">
        <is>
          <t>Кладка</t>
        </is>
      </c>
      <c r="E39" s="495" t="inlineStr">
        <is>
          <t>БАЗА</t>
        </is>
      </c>
      <c r="F39" s="497" t="inlineStr">
        <is>
          <t>Утепление стен</t>
        </is>
      </c>
      <c r="G39" s="497" t="inlineStr">
        <is>
          <t>Подземная автостоянка в/о П24-П48</t>
        </is>
      </c>
      <c r="H39" s="495" t="n"/>
      <c r="I39" s="495" t="n"/>
      <c r="J39" s="498">
        <f>Q39</f>
        <v/>
      </c>
      <c r="K39" s="499" t="inlineStr">
        <is>
          <t xml:space="preserve">Плиты из минеральной ваты толщиной 50мм, плотностью ≥130кг/м³ с креплением тарельчатыми дюбелями и защитным слоем из клеевого состава армированного штукатурной стеклосеткой в 2 слоя </t>
        </is>
      </c>
      <c r="L39" s="495" t="inlineStr">
        <is>
          <t>м2</t>
        </is>
      </c>
      <c r="M39" s="495" t="n">
        <v>1740.68</v>
      </c>
      <c r="N39" s="502">
        <f>SUM(W39:AW39)</f>
        <v/>
      </c>
      <c r="O39" s="495" t="n">
        <v>0</v>
      </c>
      <c r="P39" s="495" t="n">
        <v>0</v>
      </c>
      <c r="Q39" s="502">
        <f>N39*V39</f>
        <v/>
      </c>
      <c r="R39" s="495" t="inlineStr">
        <is>
          <t>м2</t>
        </is>
      </c>
      <c r="S39" s="495" t="n"/>
      <c r="T39" s="495" t="n"/>
      <c r="U39" s="495" t="inlineStr">
        <is>
          <t>Утепление У1</t>
        </is>
      </c>
      <c r="V39" s="495" t="n">
        <v>1</v>
      </c>
      <c r="W39" s="495" t="n"/>
      <c r="X39" s="495" t="n">
        <v>1831.78</v>
      </c>
    </row>
    <row r="40">
      <c r="A40" s="495" t="inlineStr">
        <is>
          <t>мат.</t>
        </is>
      </c>
      <c r="B40" s="495" t="inlineStr">
        <is>
          <t>13АВ-РД-АР0.3-ПА</t>
        </is>
      </c>
      <c r="C40" s="496" t="n">
        <v>45915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Утепление форкамер</t>
        </is>
      </c>
      <c r="G40" s="497" t="inlineStr">
        <is>
          <t>Подземная автостоянка в/о П24-П48</t>
        </is>
      </c>
      <c r="H40" s="495" t="n"/>
      <c r="I40" s="495" t="n"/>
      <c r="J40" s="498">
        <f>Q40</f>
        <v/>
      </c>
      <c r="K40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0" s="495" t="inlineStr">
        <is>
          <t>м2</t>
        </is>
      </c>
      <c r="M40" s="495" t="n">
        <v>355.43</v>
      </c>
      <c r="N40" s="502">
        <f>SUM(W40:AW40)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м2</t>
        </is>
      </c>
      <c r="S40" s="495" t="n"/>
      <c r="T40" s="495" t="n"/>
      <c r="U40" s="495" t="inlineStr">
        <is>
          <t>Утепление У2</t>
        </is>
      </c>
      <c r="V40" s="495" t="n">
        <v>1</v>
      </c>
      <c r="W40" s="495" t="n">
        <v>39.41</v>
      </c>
      <c r="X40" s="495" t="n">
        <v>316.02</v>
      </c>
    </row>
    <row r="41">
      <c r="A41" s="495" t="inlineStr">
        <is>
          <t>мат.</t>
        </is>
      </c>
      <c r="B41" s="495" t="inlineStr">
        <is>
          <t>13АВ-РД-АР0.3-ПА</t>
        </is>
      </c>
      <c r="C41" s="496" t="n">
        <v>45915</v>
      </c>
      <c r="D41" s="495" t="inlineStr">
        <is>
          <t>Кладка</t>
        </is>
      </c>
      <c r="E41" s="495" t="inlineStr">
        <is>
          <t>БАЗА</t>
        </is>
      </c>
      <c r="F41" s="497" t="inlineStr">
        <is>
          <t>Утепление деформационных швов</t>
        </is>
      </c>
      <c r="G41" s="497" t="inlineStr">
        <is>
          <t>Подземная автостоянка в/о П24-П48</t>
        </is>
      </c>
      <c r="H41" s="495" t="n"/>
      <c r="I41" s="495" t="n"/>
      <c r="J41" s="498">
        <f>Q41</f>
        <v/>
      </c>
      <c r="K41" s="499" t="inlineStr">
        <is>
          <t>Минераловатный утеплитель плотностью 80-90кг/м³ - 50мм</t>
        </is>
      </c>
      <c r="L41" s="495" t="inlineStr">
        <is>
          <t>м2</t>
        </is>
      </c>
      <c r="M41" s="495" t="n">
        <v>42.19</v>
      </c>
      <c r="N41" s="502">
        <f>SUM(W41:AW41)</f>
        <v/>
      </c>
      <c r="O41" s="495" t="n">
        <v>0</v>
      </c>
      <c r="P41" s="495" t="n">
        <v>0</v>
      </c>
      <c r="Q41" s="502">
        <f>N41*V41</f>
        <v/>
      </c>
      <c r="R41" s="495" t="inlineStr">
        <is>
          <t>м2</t>
        </is>
      </c>
      <c r="S41" s="495" t="n"/>
      <c r="T41" s="495" t="n"/>
      <c r="U41" s="495" t="inlineStr">
        <is>
          <t>Утепление У3</t>
        </is>
      </c>
      <c r="V41" s="495" t="n">
        <v>1</v>
      </c>
      <c r="W41" s="495" t="n"/>
      <c r="X41" s="495" t="n">
        <v>44.04</v>
      </c>
    </row>
    <row r="42">
      <c r="A42" s="421" t="n"/>
      <c r="B42" s="421" t="n"/>
      <c r="C42" s="453" t="n"/>
      <c r="D42" s="421" t="n"/>
      <c r="E42" s="421" t="n"/>
      <c r="F42" s="487" t="n"/>
      <c r="G42" s="421" t="n"/>
      <c r="H42" s="421" t="n"/>
      <c r="I42" s="421" t="n"/>
      <c r="J42" s="514" t="n"/>
      <c r="K42" s="454" t="n"/>
      <c r="L42" s="421" t="n"/>
      <c r="M42" s="421" t="n"/>
      <c r="N42" s="456" t="n"/>
      <c r="O42" s="421" t="n"/>
      <c r="P42" s="421" t="n"/>
      <c r="Q42" s="456" t="n"/>
      <c r="R42" s="421" t="n"/>
      <c r="S42" s="421" t="n"/>
      <c r="T42" s="421" t="n"/>
      <c r="U42" s="421" t="n"/>
      <c r="V42" s="421" t="n"/>
      <c r="W42" s="421" t="n"/>
      <c r="X42" s="421" t="n"/>
    </row>
    <row r="43">
      <c r="A43" s="421" t="n"/>
      <c r="B43" s="421" t="n"/>
      <c r="C43" s="453" t="n"/>
      <c r="D43" s="421" t="n"/>
      <c r="E43" s="421" t="n"/>
      <c r="F43" s="487" t="n"/>
      <c r="G43" s="421" t="n"/>
      <c r="H43" s="421" t="n"/>
      <c r="I43" s="421" t="n"/>
      <c r="J43" s="514" t="n"/>
      <c r="K43" s="454" t="n"/>
      <c r="L43" s="421" t="n"/>
      <c r="M43" s="421" t="n"/>
      <c r="N43" s="456" t="n"/>
      <c r="O43" s="421" t="n"/>
      <c r="P43" s="421" t="n"/>
      <c r="Q43" s="456" t="n"/>
      <c r="R43" s="421" t="n"/>
      <c r="S43" s="421" t="n"/>
      <c r="T43" s="421" t="n"/>
      <c r="U43" s="421" t="n"/>
      <c r="V43" s="421" t="n"/>
      <c r="W43" s="456" t="n"/>
      <c r="X43" s="456" t="n"/>
    </row>
    <row r="44">
      <c r="A44" s="421" t="n"/>
      <c r="B44" s="421" t="n"/>
      <c r="C44" s="453" t="n"/>
      <c r="D44" s="421" t="n"/>
      <c r="E44" s="421" t="n"/>
      <c r="F44" s="487" t="n"/>
      <c r="G44" s="421" t="n"/>
      <c r="H44" s="421" t="n"/>
      <c r="I44" s="421" t="n"/>
      <c r="J44" s="514" t="n"/>
      <c r="K44" s="454" t="n"/>
      <c r="L44" s="421" t="n"/>
      <c r="M44" s="421" t="n"/>
      <c r="N44" s="456" t="n"/>
      <c r="O44" s="421" t="n"/>
      <c r="P44" s="421" t="n"/>
      <c r="Q44" s="456" t="n"/>
      <c r="R44" s="421" t="n"/>
      <c r="S44" s="421" t="n"/>
      <c r="T44" s="421" t="n"/>
      <c r="U44" s="421" t="n"/>
      <c r="V44" s="421" t="n"/>
      <c r="W44" s="421" t="n"/>
      <c r="X44" s="421" t="n"/>
    </row>
    <row r="45">
      <c r="A45" s="421" t="n"/>
      <c r="B45" s="421" t="n"/>
      <c r="C45" s="453" t="n"/>
      <c r="D45" s="421" t="n"/>
      <c r="E45" s="421" t="n"/>
      <c r="F45" s="487" t="n"/>
      <c r="G45" s="421" t="n"/>
      <c r="H45" s="421" t="n"/>
      <c r="I45" s="421" t="n"/>
      <c r="J45" s="514" t="n"/>
      <c r="K45" s="454" t="n"/>
      <c r="L45" s="421" t="n"/>
      <c r="M45" s="421" t="n"/>
      <c r="N45" s="456" t="n"/>
      <c r="O45" s="421" t="n"/>
      <c r="P45" s="421" t="n"/>
      <c r="Q45" s="456" t="n"/>
      <c r="R45" s="421" t="n"/>
      <c r="S45" s="421" t="n"/>
      <c r="T45" s="421" t="n"/>
      <c r="U45" s="421" t="n"/>
      <c r="V45" s="421" t="n"/>
      <c r="W45" s="456" t="n"/>
      <c r="X45" s="456" t="n"/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56" t="n"/>
      <c r="N46" s="456" t="n"/>
      <c r="O46" s="421" t="n"/>
      <c r="P46" s="421" t="n"/>
      <c r="Q46" s="456" t="n"/>
      <c r="R46" s="421" t="n"/>
      <c r="S46" s="421" t="n"/>
      <c r="T46" s="421" t="n"/>
      <c r="U46" s="487" t="n"/>
      <c r="V46" s="421" t="n"/>
      <c r="W46" s="421" t="n"/>
      <c r="X46" s="421" t="n"/>
    </row>
    <row r="47">
      <c r="A47" s="421" t="n"/>
      <c r="B47" s="421" t="n"/>
      <c r="C47" s="453" t="n"/>
      <c r="D47" s="421" t="n"/>
      <c r="E47" s="421" t="n"/>
      <c r="F47" s="487" t="n"/>
      <c r="G47" s="421" t="n"/>
      <c r="H47" s="421" t="n"/>
      <c r="I47" s="421" t="n"/>
      <c r="J47" s="514" t="n"/>
      <c r="K47" s="454" t="n"/>
      <c r="L47" s="421" t="n"/>
      <c r="M47" s="421" t="n"/>
      <c r="N47" s="456" t="n"/>
      <c r="O47" s="421" t="n"/>
      <c r="P47" s="421" t="n"/>
      <c r="Q47" s="456" t="n"/>
      <c r="R47" s="421" t="n"/>
      <c r="S47" s="421" t="n"/>
      <c r="T47" s="421" t="n"/>
      <c r="U47" s="487" t="n"/>
      <c r="V47" s="421" t="n"/>
      <c r="W47" s="421" t="n"/>
      <c r="X47" s="421" t="n"/>
    </row>
    <row r="48">
      <c r="A48" s="421" t="n"/>
      <c r="B48" s="421" t="n"/>
      <c r="C48" s="453" t="n"/>
      <c r="D48" s="421" t="n"/>
      <c r="E48" s="421" t="n"/>
      <c r="F48" s="487" t="n"/>
      <c r="G48" s="421" t="n"/>
      <c r="H48" s="421" t="n"/>
      <c r="I48" s="421" t="n"/>
      <c r="J48" s="514" t="n"/>
      <c r="K48" s="454" t="n"/>
      <c r="L48" s="421" t="n"/>
      <c r="M48" s="421" t="n"/>
      <c r="N48" s="456" t="n"/>
      <c r="O48" s="421" t="n"/>
      <c r="P48" s="421" t="n"/>
      <c r="Q48" s="456" t="n"/>
      <c r="R48" s="421" t="n"/>
      <c r="S48" s="421" t="n"/>
      <c r="T48" s="421" t="n"/>
      <c r="U48" s="421" t="n"/>
      <c r="V48" s="421" t="n"/>
      <c r="W48" s="456" t="n"/>
      <c r="X48" s="456" t="n"/>
    </row>
    <row r="49">
      <c r="A49" s="421" t="n"/>
      <c r="B49" s="421" t="n"/>
      <c r="C49" s="453" t="n"/>
      <c r="D49" s="421" t="n"/>
      <c r="E49" s="421" t="n"/>
      <c r="F49" s="487" t="n"/>
      <c r="G49" s="421" t="n"/>
      <c r="H49" s="421" t="n"/>
      <c r="I49" s="421" t="n"/>
      <c r="J49" s="514" t="n"/>
      <c r="K49" s="454" t="n"/>
      <c r="L49" s="421" t="n"/>
      <c r="M49" s="456" t="n"/>
      <c r="N49" s="456" t="n"/>
      <c r="O49" s="421" t="n"/>
      <c r="P49" s="421" t="n"/>
      <c r="Q49" s="456" t="n"/>
      <c r="R49" s="421" t="n"/>
      <c r="S49" s="421" t="n"/>
      <c r="T49" s="421" t="n"/>
      <c r="U49" s="487" t="n"/>
      <c r="V49" s="421" t="n"/>
      <c r="W49" s="421" t="n"/>
      <c r="X49" s="421" t="n"/>
    </row>
    <row r="50">
      <c r="A50" s="421" t="n"/>
      <c r="B50" s="421" t="n"/>
      <c r="C50" s="453" t="n"/>
      <c r="D50" s="421" t="n"/>
      <c r="E50" s="421" t="n"/>
      <c r="F50" s="487" t="n"/>
      <c r="G50" s="421" t="n"/>
      <c r="H50" s="421" t="n"/>
      <c r="I50" s="421" t="n"/>
      <c r="J50" s="514" t="n"/>
      <c r="K50" s="454" t="n"/>
      <c r="L50" s="421" t="n"/>
      <c r="M50" s="421" t="n"/>
      <c r="N50" s="456" t="n"/>
      <c r="O50" s="421" t="n"/>
      <c r="P50" s="421" t="n"/>
      <c r="Q50" s="456" t="n"/>
      <c r="R50" s="421" t="n"/>
      <c r="S50" s="421" t="n"/>
      <c r="T50" s="421" t="n"/>
      <c r="U50" s="487" t="n"/>
      <c r="V50" s="421" t="n"/>
      <c r="W50" s="421" t="n"/>
      <c r="X50" s="421" t="n"/>
    </row>
    <row r="51">
      <c r="A51" s="421" t="n"/>
      <c r="B51" s="421" t="n"/>
      <c r="C51" s="453" t="n"/>
      <c r="D51" s="421" t="n"/>
      <c r="E51" s="421" t="n"/>
      <c r="F51" s="487" t="n"/>
      <c r="G51" s="421" t="n"/>
      <c r="H51" s="421" t="n"/>
      <c r="I51" s="421" t="n"/>
      <c r="J51" s="514" t="n"/>
      <c r="K51" s="454" t="n"/>
      <c r="L51" s="421" t="n"/>
      <c r="M51" s="421" t="n"/>
      <c r="N51" s="456" t="n"/>
      <c r="O51" s="421" t="n"/>
      <c r="P51" s="421" t="n"/>
      <c r="Q51" s="456" t="n"/>
      <c r="R51" s="421" t="n"/>
      <c r="S51" s="421" t="n"/>
      <c r="T51" s="421" t="n"/>
      <c r="U51" s="421" t="n"/>
      <c r="V51" s="421" t="n"/>
      <c r="W51" s="421" t="n"/>
      <c r="X51" s="421" t="n"/>
    </row>
    <row r="52">
      <c r="A52" s="421" t="n"/>
      <c r="B52" s="421" t="n"/>
      <c r="C52" s="453" t="n"/>
      <c r="D52" s="421" t="n"/>
      <c r="E52" s="421" t="n"/>
      <c r="F52" s="487" t="n"/>
      <c r="G52" s="421" t="n"/>
      <c r="H52" s="421" t="n"/>
      <c r="I52" s="421" t="n"/>
      <c r="J52" s="514" t="n"/>
      <c r="K52" s="454" t="n"/>
      <c r="L52" s="421" t="n"/>
      <c r="M52" s="421" t="n"/>
      <c r="N52" s="456" t="n"/>
      <c r="O52" s="421" t="n"/>
      <c r="P52" s="421" t="n"/>
      <c r="Q52" s="456" t="n"/>
      <c r="R52" s="421" t="n"/>
      <c r="S52" s="421" t="n"/>
      <c r="T52" s="421" t="n"/>
      <c r="U52" s="421" t="n"/>
      <c r="V52" s="421" t="n"/>
      <c r="W52" s="456" t="n"/>
      <c r="X52" s="456" t="n"/>
    </row>
    <row r="53">
      <c r="A53" s="421" t="n"/>
      <c r="B53" s="421" t="n"/>
      <c r="C53" s="453" t="n"/>
      <c r="D53" s="421" t="n"/>
      <c r="E53" s="421" t="n"/>
      <c r="F53" s="487" t="n"/>
      <c r="G53" s="421" t="n"/>
      <c r="H53" s="421" t="n"/>
      <c r="I53" s="421" t="n"/>
      <c r="J53" s="514" t="n"/>
      <c r="K53" s="454" t="n"/>
      <c r="L53" s="421" t="n"/>
      <c r="M53" s="421" t="n"/>
      <c r="N53" s="456" t="n"/>
      <c r="O53" s="421" t="n"/>
      <c r="P53" s="421" t="n"/>
      <c r="Q53" s="456" t="n"/>
      <c r="R53" s="421" t="n"/>
      <c r="S53" s="421" t="n"/>
      <c r="T53" s="421" t="n"/>
      <c r="U53" s="421" t="n"/>
      <c r="V53" s="421" t="n"/>
      <c r="W53" s="421" t="n"/>
      <c r="X53" s="421" t="n"/>
    </row>
    <row r="54">
      <c r="A54" s="421" t="n"/>
      <c r="B54" s="421" t="n"/>
      <c r="C54" s="453" t="n"/>
      <c r="D54" s="421" t="n"/>
      <c r="E54" s="421" t="n"/>
      <c r="F54" s="487" t="n"/>
      <c r="G54" s="421" t="n"/>
      <c r="H54" s="421" t="n"/>
      <c r="I54" s="421" t="n"/>
      <c r="J54" s="514" t="n"/>
      <c r="K54" s="454" t="n"/>
      <c r="L54" s="421" t="n"/>
      <c r="M54" s="421" t="n"/>
      <c r="N54" s="456" t="n"/>
      <c r="O54" s="421" t="n"/>
      <c r="P54" s="421" t="n"/>
      <c r="Q54" s="456" t="n"/>
      <c r="R54" s="421" t="n"/>
      <c r="S54" s="421" t="n"/>
      <c r="T54" s="421" t="n"/>
      <c r="U54" s="421" t="n"/>
      <c r="V54" s="421" t="n"/>
      <c r="W54" s="456" t="n"/>
      <c r="X54" s="456" t="n"/>
    </row>
    <row r="55">
      <c r="A55" s="421" t="n"/>
      <c r="B55" s="421" t="n"/>
      <c r="C55" s="453" t="n"/>
      <c r="D55" s="421" t="n"/>
      <c r="E55" s="421" t="n"/>
      <c r="F55" s="487" t="n"/>
      <c r="G55" s="421" t="n"/>
      <c r="H55" s="421" t="n"/>
      <c r="I55" s="421" t="n"/>
      <c r="J55" s="514" t="n"/>
      <c r="K55" s="454" t="n"/>
      <c r="L55" s="421" t="n"/>
      <c r="M55" s="421" t="n"/>
      <c r="N55" s="456" t="n"/>
      <c r="O55" s="421" t="n"/>
      <c r="P55" s="421" t="n"/>
      <c r="Q55" s="456" t="n"/>
      <c r="R55" s="421" t="n"/>
      <c r="S55" s="421" t="n"/>
      <c r="T55" s="421" t="n"/>
      <c r="U55" s="421" t="n"/>
      <c r="V55" s="421" t="n"/>
      <c r="W55" s="421" t="n"/>
      <c r="X55" s="421" t="n"/>
    </row>
    <row r="56">
      <c r="A56" s="421" t="n"/>
      <c r="B56" s="421" t="n"/>
      <c r="C56" s="453" t="n"/>
      <c r="D56" s="421" t="n"/>
      <c r="E56" s="421" t="n"/>
      <c r="F56" s="487" t="n"/>
      <c r="G56" s="421" t="n"/>
      <c r="H56" s="421" t="n"/>
      <c r="I56" s="421" t="n"/>
      <c r="J56" s="514" t="n"/>
      <c r="K56" s="454" t="n"/>
      <c r="L56" s="421" t="n"/>
      <c r="M56" s="421" t="n"/>
      <c r="N56" s="456" t="n"/>
      <c r="O56" s="421" t="n"/>
      <c r="P56" s="421" t="n"/>
      <c r="Q56" s="456" t="n"/>
      <c r="R56" s="421" t="n"/>
      <c r="S56" s="421" t="n"/>
      <c r="T56" s="421" t="n"/>
      <c r="U56" s="421" t="n"/>
      <c r="V56" s="421" t="n"/>
      <c r="W56" s="456" t="n"/>
      <c r="X56" s="456" t="n"/>
    </row>
    <row r="57">
      <c r="A57" s="421" t="n"/>
      <c r="B57" s="421" t="n"/>
      <c r="C57" s="453" t="n"/>
      <c r="D57" s="421" t="n"/>
      <c r="E57" s="421" t="n"/>
      <c r="F57" s="487" t="n"/>
      <c r="G57" s="421" t="n"/>
      <c r="H57" s="421" t="n"/>
      <c r="I57" s="421" t="n"/>
      <c r="J57" s="514" t="n"/>
      <c r="K57" s="454" t="n"/>
      <c r="L57" s="421" t="n"/>
      <c r="M57" s="421" t="n"/>
      <c r="N57" s="456" t="n"/>
      <c r="O57" s="421" t="n"/>
      <c r="P57" s="421" t="n"/>
      <c r="Q57" s="456" t="n"/>
      <c r="R57" s="421" t="n"/>
      <c r="S57" s="421" t="n"/>
      <c r="T57" s="421" t="n"/>
      <c r="U57" s="421" t="n"/>
      <c r="V57" s="421" t="n"/>
      <c r="W57" s="421" t="n"/>
      <c r="X57" s="421" t="n"/>
    </row>
    <row r="58">
      <c r="A58" s="421" t="n"/>
      <c r="B58" s="421" t="n"/>
      <c r="C58" s="453" t="n"/>
      <c r="D58" s="421" t="n"/>
      <c r="E58" s="421" t="n"/>
      <c r="F58" s="487" t="n"/>
      <c r="G58" s="421" t="n"/>
      <c r="H58" s="421" t="n"/>
      <c r="I58" s="421" t="n"/>
      <c r="J58" s="514" t="n"/>
      <c r="K58" s="454" t="n"/>
      <c r="L58" s="421" t="n"/>
      <c r="M58" s="421" t="n"/>
      <c r="N58" s="456" t="n"/>
      <c r="O58" s="421" t="n"/>
      <c r="P58" s="421" t="n"/>
      <c r="Q58" s="456" t="n"/>
      <c r="R58" s="421" t="n"/>
      <c r="S58" s="421" t="n"/>
      <c r="T58" s="421" t="n"/>
      <c r="U58" s="421" t="n"/>
      <c r="V58" s="421" t="n"/>
      <c r="W58" s="456" t="n"/>
      <c r="X58" s="456" t="n"/>
    </row>
    <row r="59">
      <c r="A59" s="421" t="n"/>
      <c r="B59" s="421" t="n"/>
      <c r="C59" s="453" t="n"/>
      <c r="D59" s="421" t="n"/>
      <c r="E59" s="421" t="n"/>
      <c r="F59" s="487" t="n"/>
      <c r="G59" s="421" t="n"/>
      <c r="H59" s="421" t="n"/>
      <c r="I59" s="421" t="n"/>
      <c r="J59" s="514" t="n"/>
      <c r="K59" s="454" t="n"/>
      <c r="L59" s="421" t="n"/>
      <c r="M59" s="421" t="n"/>
      <c r="N59" s="456" t="n"/>
      <c r="O59" s="421" t="n"/>
      <c r="P59" s="421" t="n"/>
      <c r="Q59" s="456" t="n"/>
      <c r="R59" s="421" t="n"/>
      <c r="S59" s="421" t="n"/>
      <c r="T59" s="421" t="n"/>
      <c r="U59" s="421" t="n"/>
      <c r="V59" s="421" t="n"/>
      <c r="W59" s="421" t="n"/>
      <c r="X59" s="421" t="n"/>
    </row>
    <row r="60">
      <c r="A60" s="421" t="n"/>
      <c r="B60" s="421" t="n"/>
      <c r="C60" s="453" t="n"/>
      <c r="D60" s="421" t="n"/>
      <c r="E60" s="421" t="n"/>
      <c r="F60" s="487" t="n"/>
      <c r="G60" s="421" t="n"/>
      <c r="H60" s="421" t="n"/>
      <c r="I60" s="421" t="n"/>
      <c r="J60" s="514" t="n"/>
      <c r="K60" s="454" t="n"/>
      <c r="L60" s="421" t="n"/>
      <c r="M60" s="421" t="n"/>
      <c r="N60" s="456" t="n"/>
      <c r="O60" s="421" t="n"/>
      <c r="P60" s="421" t="n"/>
      <c r="Q60" s="456" t="n"/>
      <c r="R60" s="421" t="n"/>
      <c r="S60" s="421" t="n"/>
      <c r="T60" s="421" t="n"/>
      <c r="U60" s="421" t="n"/>
      <c r="V60" s="421" t="n"/>
      <c r="W60" s="421" t="n"/>
      <c r="X60" s="421" t="n"/>
    </row>
    <row r="61">
      <c r="A61" s="421" t="n"/>
      <c r="B61" s="421" t="n"/>
      <c r="C61" s="453" t="n"/>
      <c r="D61" s="421" t="n"/>
      <c r="E61" s="421" t="n"/>
      <c r="F61" s="487" t="n"/>
      <c r="G61" s="421" t="n"/>
      <c r="H61" s="421" t="n"/>
      <c r="I61" s="421" t="n"/>
      <c r="J61" s="514" t="n"/>
      <c r="K61" s="454" t="n"/>
      <c r="L61" s="421" t="n"/>
      <c r="M61" s="421" t="n"/>
      <c r="N61" s="421" t="n"/>
      <c r="O61" s="421" t="n"/>
      <c r="P61" s="421" t="n"/>
      <c r="Q61" s="456" t="n"/>
      <c r="R61" s="421" t="n"/>
      <c r="S61" s="421" t="n"/>
      <c r="T61" s="421" t="n"/>
      <c r="U61" s="487" t="n"/>
      <c r="V61" s="421" t="n"/>
      <c r="W61" s="421" t="n"/>
      <c r="X61" s="421" t="n"/>
    </row>
    <row r="62">
      <c r="A62" s="421" t="n"/>
      <c r="B62" s="421" t="n"/>
      <c r="C62" s="453" t="n"/>
      <c r="D62" s="421" t="n"/>
      <c r="E62" s="421" t="n"/>
      <c r="F62" s="487" t="n"/>
      <c r="G62" s="421" t="n"/>
      <c r="H62" s="421" t="n"/>
      <c r="I62" s="421" t="n"/>
      <c r="J62" s="421" t="n"/>
      <c r="K62" s="454" t="n"/>
      <c r="L62" s="421" t="n"/>
      <c r="M62" s="421" t="n"/>
      <c r="N62" s="421" t="n"/>
      <c r="O62" s="421" t="n"/>
      <c r="P62" s="421" t="n"/>
      <c r="Q62" s="456" t="n"/>
      <c r="R62" s="421" t="n"/>
      <c r="S62" s="421" t="n"/>
      <c r="T62" s="421" t="n"/>
      <c r="U62" s="487" t="n"/>
      <c r="V62" s="421" t="n"/>
      <c r="W62" s="515" t="n"/>
      <c r="X62" s="515" t="n"/>
    </row>
    <row r="63">
      <c r="A63" s="421" t="n"/>
      <c r="B63" s="421" t="n"/>
      <c r="C63" s="453" t="n"/>
      <c r="D63" s="421" t="n"/>
      <c r="E63" s="421" t="n"/>
      <c r="F63" s="487" t="n"/>
      <c r="G63" s="421" t="n"/>
      <c r="H63" s="421" t="n"/>
      <c r="I63" s="421" t="n"/>
      <c r="J63" s="421" t="n"/>
      <c r="K63" s="454" t="n"/>
      <c r="L63" s="421" t="n"/>
      <c r="M63" s="421" t="n"/>
      <c r="N63" s="421" t="n"/>
      <c r="O63" s="421" t="n"/>
      <c r="P63" s="421" t="n"/>
      <c r="Q63" s="456" t="n"/>
      <c r="R63" s="421" t="n"/>
      <c r="S63" s="421" t="n"/>
      <c r="T63" s="421" t="n"/>
      <c r="U63" s="487" t="n"/>
      <c r="V63" s="421" t="n"/>
      <c r="W63" s="421" t="n"/>
      <c r="X63" s="421" t="n"/>
    </row>
    <row r="64">
      <c r="A64" s="421" t="n"/>
      <c r="B64" s="421" t="n"/>
      <c r="C64" s="453" t="n"/>
      <c r="D64" s="421" t="n"/>
      <c r="E64" s="421" t="n"/>
      <c r="F64" s="487" t="n"/>
      <c r="G64" s="421" t="n"/>
      <c r="H64" s="421" t="n"/>
      <c r="I64" s="421" t="n"/>
      <c r="J64" s="421" t="n"/>
      <c r="K64" s="454" t="n"/>
      <c r="L64" s="421" t="n"/>
      <c r="M64" s="421" t="n"/>
      <c r="N64" s="421" t="n"/>
      <c r="O64" s="421" t="n"/>
      <c r="P64" s="421" t="n"/>
      <c r="Q64" s="456" t="n"/>
      <c r="R64" s="421" t="n"/>
      <c r="S64" s="421" t="n"/>
      <c r="T64" s="421" t="n"/>
      <c r="U64" s="487" t="n"/>
      <c r="V64" s="421" t="n"/>
      <c r="W64" s="421" t="n"/>
      <c r="X64" s="421" t="n"/>
    </row>
    <row r="65">
      <c r="A65" s="421" t="n"/>
      <c r="B65" s="421" t="n"/>
      <c r="C65" s="453" t="n"/>
      <c r="D65" s="421" t="n"/>
      <c r="E65" s="421" t="n"/>
      <c r="F65" s="487" t="n"/>
      <c r="G65" s="421" t="n"/>
      <c r="H65" s="421" t="n"/>
      <c r="I65" s="421" t="n"/>
      <c r="J65" s="421" t="n"/>
      <c r="K65" s="454" t="n"/>
      <c r="L65" s="421" t="n"/>
      <c r="M65" s="421" t="n"/>
      <c r="N65" s="421" t="n"/>
      <c r="O65" s="421" t="n"/>
      <c r="P65" s="421" t="n"/>
      <c r="Q65" s="456" t="n"/>
      <c r="R65" s="421" t="n"/>
      <c r="S65" s="421" t="n"/>
      <c r="T65" s="421" t="n"/>
      <c r="U65" s="487" t="n"/>
      <c r="V65" s="421" t="n"/>
      <c r="W65" s="421" t="n"/>
      <c r="X65" s="421" t="n"/>
    </row>
    <row r="66">
      <c r="A66" s="421" t="n"/>
      <c r="B66" s="421" t="n"/>
      <c r="C66" s="453" t="n"/>
      <c r="D66" s="421" t="n"/>
      <c r="E66" s="421" t="n"/>
      <c r="F66" s="487" t="n"/>
      <c r="G66" s="421" t="n"/>
      <c r="H66" s="421" t="n"/>
      <c r="I66" s="421" t="n"/>
      <c r="J66" s="514" t="n"/>
      <c r="K66" s="454" t="n"/>
      <c r="L66" s="421" t="n"/>
      <c r="M66" s="421" t="n"/>
      <c r="N66" s="421" t="n"/>
      <c r="O66" s="421" t="n"/>
      <c r="P66" s="421" t="n"/>
      <c r="Q66" s="515" t="n"/>
      <c r="R66" s="421" t="n"/>
      <c r="S66" s="421" t="n"/>
      <c r="T66" s="421" t="n"/>
      <c r="U66" s="487" t="n"/>
      <c r="V66" s="421" t="n"/>
      <c r="W66" s="421" t="n"/>
      <c r="X66" s="421" t="n"/>
    </row>
    <row r="67">
      <c r="A67" s="421" t="n"/>
      <c r="B67" s="421" t="n"/>
      <c r="C67" s="453" t="n"/>
      <c r="D67" s="421" t="n"/>
      <c r="E67" s="421" t="n"/>
      <c r="F67" s="487" t="n"/>
      <c r="G67" s="421" t="n"/>
      <c r="H67" s="421" t="n"/>
      <c r="I67" s="421" t="n"/>
      <c r="J67" s="514" t="n"/>
      <c r="K67" s="454" t="n"/>
      <c r="L67" s="421" t="n"/>
      <c r="M67" s="421" t="n"/>
      <c r="N67" s="421" t="n"/>
      <c r="O67" s="421" t="n"/>
      <c r="P67" s="421" t="n"/>
      <c r="Q67" s="515" t="n"/>
      <c r="R67" s="421" t="n"/>
      <c r="S67" s="421" t="n"/>
      <c r="T67" s="421" t="n"/>
      <c r="U67" s="421" t="n"/>
      <c r="V67" s="421" t="n"/>
      <c r="W67" s="421" t="n"/>
      <c r="X67" s="421" t="n"/>
    </row>
    <row r="68">
      <c r="A68" s="421" t="n"/>
      <c r="B68" s="421" t="n"/>
      <c r="C68" s="453" t="n"/>
      <c r="D68" s="421" t="n"/>
      <c r="E68" s="421" t="n"/>
      <c r="F68" s="487" t="n"/>
      <c r="G68" s="421" t="n"/>
      <c r="H68" s="421" t="n"/>
      <c r="I68" s="421" t="n"/>
      <c r="J68" s="514" t="n"/>
      <c r="K68" s="454" t="n"/>
      <c r="L68" s="421" t="n"/>
      <c r="M68" s="421" t="n"/>
      <c r="N68" s="421" t="n"/>
      <c r="O68" s="421" t="n"/>
      <c r="P68" s="421" t="n"/>
      <c r="Q68" s="456" t="n"/>
      <c r="R68" s="421" t="n"/>
      <c r="S68" s="421" t="n"/>
      <c r="T68" s="421" t="n"/>
      <c r="U68" s="421" t="n"/>
      <c r="V68" s="421" t="n"/>
      <c r="W68" s="421" t="n"/>
      <c r="X68" s="421" t="n"/>
    </row>
    <row r="69">
      <c r="A69" s="421" t="n"/>
      <c r="B69" s="421" t="n"/>
      <c r="C69" s="453" t="n"/>
      <c r="D69" s="421" t="n"/>
      <c r="E69" s="421" t="n"/>
      <c r="F69" s="487" t="n"/>
      <c r="G69" s="421" t="n"/>
      <c r="H69" s="421" t="n"/>
      <c r="I69" s="421" t="n"/>
      <c r="J69" s="514" t="n"/>
      <c r="K69" s="454" t="n"/>
      <c r="L69" s="421" t="n"/>
      <c r="M69" s="421" t="n"/>
      <c r="N69" s="421" t="n"/>
      <c r="O69" s="421" t="n"/>
      <c r="P69" s="421" t="n"/>
      <c r="Q69" s="515" t="n"/>
      <c r="R69" s="421" t="n"/>
      <c r="S69" s="421" t="n"/>
      <c r="T69" s="421" t="n"/>
      <c r="U69" s="421" t="n"/>
      <c r="V69" s="421" t="n"/>
      <c r="W69" s="421" t="n"/>
      <c r="X69" s="421" t="n"/>
    </row>
    <row r="70">
      <c r="A70" s="421" t="n"/>
      <c r="B70" s="421" t="n"/>
      <c r="C70" s="453" t="n"/>
      <c r="D70" s="421" t="n"/>
      <c r="E70" s="421" t="n"/>
      <c r="F70" s="487" t="n"/>
      <c r="G70" s="421" t="n"/>
      <c r="H70" s="421" t="n"/>
      <c r="I70" s="421" t="n"/>
      <c r="J70" s="514" t="n"/>
      <c r="K70" s="454" t="n"/>
      <c r="L70" s="421" t="n"/>
      <c r="M70" s="421" t="n"/>
      <c r="N70" s="421" t="n"/>
      <c r="O70" s="421" t="n"/>
      <c r="P70" s="421" t="n"/>
      <c r="Q70" s="515" t="n"/>
      <c r="R70" s="421" t="n"/>
      <c r="S70" s="421" t="n"/>
      <c r="T70" s="421" t="n"/>
      <c r="U70" s="421" t="n"/>
      <c r="V70" s="421" t="n"/>
      <c r="W70" s="421" t="n"/>
      <c r="X70" s="421" t="n"/>
    </row>
    <row r="71">
      <c r="A71" s="421" t="n"/>
      <c r="B71" s="421" t="n"/>
      <c r="C71" s="453" t="n"/>
      <c r="D71" s="421" t="n"/>
      <c r="E71" s="421" t="n"/>
      <c r="F71" s="487" t="n"/>
      <c r="G71" s="421" t="n"/>
      <c r="H71" s="421" t="n"/>
      <c r="I71" s="421" t="n"/>
      <c r="J71" s="514" t="n"/>
      <c r="K71" s="454" t="n"/>
      <c r="L71" s="421" t="n"/>
      <c r="M71" s="421" t="n"/>
      <c r="N71" s="421" t="n"/>
      <c r="O71" s="421" t="n"/>
      <c r="P71" s="421" t="n"/>
      <c r="Q71" s="515" t="n"/>
      <c r="R71" s="421" t="n"/>
      <c r="S71" s="421" t="n"/>
      <c r="T71" s="421" t="n"/>
      <c r="U71" s="421" t="n"/>
      <c r="V71" s="421" t="n"/>
      <c r="W71" s="421" t="n"/>
      <c r="X71" s="421" t="n"/>
    </row>
    <row r="72">
      <c r="A72" s="421" t="n"/>
      <c r="B72" s="421" t="n"/>
      <c r="C72" s="453" t="n"/>
      <c r="D72" s="421" t="n"/>
      <c r="E72" s="421" t="n"/>
      <c r="F72" s="487" t="n"/>
      <c r="G72" s="421" t="n"/>
      <c r="H72" s="421" t="n"/>
      <c r="I72" s="421" t="n"/>
      <c r="J72" s="514" t="n"/>
      <c r="K72" s="454" t="n"/>
      <c r="L72" s="421" t="n"/>
      <c r="M72" s="421" t="n"/>
      <c r="N72" s="421" t="n"/>
      <c r="O72" s="421" t="n"/>
      <c r="P72" s="421" t="n"/>
      <c r="Q72" s="515" t="n"/>
      <c r="R72" s="421" t="n"/>
      <c r="S72" s="421" t="n"/>
      <c r="T72" s="421" t="n"/>
      <c r="U72" s="421" t="n"/>
      <c r="V72" s="421" t="n"/>
      <c r="W72" s="421" t="n"/>
      <c r="X72" s="421" t="n"/>
    </row>
    <row r="73">
      <c r="A73" s="421" t="n"/>
      <c r="B73" s="421" t="n"/>
      <c r="C73" s="453" t="n"/>
      <c r="D73" s="421" t="n"/>
      <c r="E73" s="421" t="n"/>
      <c r="F73" s="487" t="n"/>
      <c r="G73" s="421" t="n"/>
      <c r="H73" s="421" t="n"/>
      <c r="I73" s="421" t="n"/>
      <c r="J73" s="514" t="n"/>
      <c r="K73" s="454" t="n"/>
      <c r="L73" s="421" t="n"/>
      <c r="M73" s="421" t="n"/>
      <c r="N73" s="421" t="n"/>
      <c r="O73" s="421" t="n"/>
      <c r="P73" s="421" t="n"/>
      <c r="Q73" s="515" t="n"/>
      <c r="R73" s="421" t="n"/>
      <c r="S73" s="421" t="n"/>
      <c r="T73" s="421" t="n"/>
      <c r="U73" s="421" t="n"/>
      <c r="V73" s="421" t="n"/>
      <c r="W73" s="421" t="n"/>
      <c r="X73" s="421" t="n"/>
    </row>
    <row r="74">
      <c r="A74" s="421" t="n"/>
      <c r="B74" s="421" t="n"/>
      <c r="C74" s="453" t="n"/>
      <c r="D74" s="421" t="n"/>
      <c r="E74" s="421" t="n"/>
      <c r="F74" s="487" t="n"/>
      <c r="G74" s="421" t="n"/>
      <c r="H74" s="421" t="n"/>
      <c r="I74" s="421" t="n"/>
      <c r="J74" s="514" t="n"/>
      <c r="K74" s="454" t="n"/>
      <c r="L74" s="421" t="n"/>
      <c r="M74" s="421" t="n"/>
      <c r="N74" s="421" t="n"/>
      <c r="O74" s="421" t="n"/>
      <c r="P74" s="421" t="n"/>
      <c r="Q74" s="456" t="n"/>
      <c r="R74" s="421" t="n"/>
      <c r="S74" s="421" t="n"/>
      <c r="T74" s="421" t="n"/>
      <c r="U74" s="421" t="n"/>
      <c r="V74" s="421" t="n"/>
      <c r="W74" s="421" t="n"/>
      <c r="X74" s="421" t="n"/>
    </row>
    <row r="75">
      <c r="A75" s="421" t="n"/>
      <c r="B75" s="421" t="n"/>
      <c r="C75" s="453" t="n"/>
      <c r="D75" s="421" t="n"/>
      <c r="E75" s="421" t="n"/>
      <c r="F75" s="487" t="n"/>
      <c r="G75" s="421" t="n"/>
      <c r="H75" s="421" t="n"/>
      <c r="I75" s="421" t="n"/>
      <c r="J75" s="514" t="n"/>
      <c r="K75" s="454" t="n"/>
      <c r="L75" s="421" t="n"/>
      <c r="M75" s="421" t="n"/>
      <c r="N75" s="421" t="n"/>
      <c r="O75" s="421" t="n"/>
      <c r="P75" s="421" t="n"/>
      <c r="Q75" s="456" t="n"/>
      <c r="R75" s="421" t="n"/>
      <c r="S75" s="421" t="n"/>
      <c r="T75" s="421" t="n"/>
      <c r="U75" s="421" t="n"/>
      <c r="V75" s="421" t="n"/>
      <c r="W75" s="421" t="n"/>
      <c r="X75" s="421" t="n"/>
    </row>
    <row r="76">
      <c r="A76" s="421" t="n"/>
      <c r="B76" s="421" t="n"/>
      <c r="C76" s="453" t="n"/>
      <c r="D76" s="421" t="n"/>
      <c r="E76" s="421" t="n"/>
      <c r="F76" s="487" t="n"/>
      <c r="G76" s="421" t="n"/>
      <c r="H76" s="421" t="n"/>
      <c r="I76" s="421" t="n"/>
      <c r="J76" s="514" t="n"/>
      <c r="K76" s="454" t="n"/>
      <c r="L76" s="421" t="n"/>
      <c r="M76" s="421" t="n"/>
      <c r="N76" s="421" t="n"/>
      <c r="O76" s="421" t="n"/>
      <c r="P76" s="421" t="n"/>
      <c r="Q76" s="456" t="n"/>
      <c r="R76" s="421" t="n"/>
      <c r="S76" s="421" t="n"/>
      <c r="T76" s="421" t="n"/>
      <c r="U76" s="487" t="n"/>
      <c r="V76" s="421" t="n"/>
      <c r="W76" s="421" t="n"/>
      <c r="X76" s="421" t="n"/>
    </row>
    <row r="77">
      <c r="A77" s="421" t="n"/>
      <c r="B77" s="421" t="n"/>
      <c r="C77" s="453" t="n"/>
      <c r="D77" s="421" t="n"/>
      <c r="E77" s="421" t="n"/>
      <c r="F77" s="487" t="n"/>
      <c r="G77" s="421" t="n"/>
      <c r="H77" s="421" t="n"/>
      <c r="I77" s="421" t="n"/>
      <c r="J77" s="514" t="n"/>
      <c r="K77" s="454" t="n"/>
      <c r="L77" s="421" t="n"/>
      <c r="M77" s="421" t="n"/>
      <c r="N77" s="421" t="n"/>
      <c r="O77" s="421" t="n"/>
      <c r="P77" s="421" t="n"/>
      <c r="Q77" s="456" t="n"/>
      <c r="R77" s="421" t="n"/>
      <c r="S77" s="421" t="n"/>
      <c r="T77" s="421" t="n"/>
      <c r="U77" s="487" t="n"/>
      <c r="V77" s="421" t="n"/>
      <c r="W77" s="421" t="n"/>
      <c r="X77" s="421" t="n"/>
    </row>
    <row r="78">
      <c r="A78" s="421" t="n"/>
      <c r="B78" s="421" t="n"/>
      <c r="C78" s="453" t="n"/>
      <c r="D78" s="421" t="n"/>
      <c r="E78" s="421" t="n"/>
      <c r="F78" s="487" t="n"/>
      <c r="G78" s="421" t="n"/>
      <c r="H78" s="421" t="n"/>
      <c r="I78" s="421" t="n"/>
      <c r="J78" s="514" t="n"/>
      <c r="K78" s="454" t="n"/>
      <c r="L78" s="421" t="n"/>
      <c r="M78" s="421" t="n"/>
      <c r="N78" s="421" t="n"/>
      <c r="O78" s="421" t="n"/>
      <c r="P78" s="421" t="n"/>
      <c r="Q78" s="456" t="n"/>
      <c r="R78" s="421" t="n"/>
      <c r="S78" s="421" t="n"/>
      <c r="T78" s="421" t="n"/>
      <c r="U78" s="421" t="n"/>
      <c r="V78" s="421" t="n"/>
      <c r="W78" s="421" t="n"/>
      <c r="X78" s="421" t="n"/>
    </row>
    <row r="79">
      <c r="A79" s="421" t="n"/>
      <c r="B79" s="421" t="n"/>
      <c r="C79" s="453" t="n"/>
      <c r="D79" s="421" t="n"/>
      <c r="E79" s="421" t="n"/>
      <c r="F79" s="487" t="n"/>
      <c r="G79" s="421" t="n"/>
      <c r="H79" s="421" t="n"/>
      <c r="I79" s="421" t="n"/>
      <c r="J79" s="514" t="n"/>
      <c r="K79" s="454" t="n"/>
      <c r="L79" s="421" t="n"/>
      <c r="M79" s="421" t="n"/>
      <c r="N79" s="421" t="n"/>
      <c r="O79" s="421" t="n"/>
      <c r="P79" s="421" t="n"/>
      <c r="Q79" s="456" t="n"/>
      <c r="R79" s="421" t="n"/>
      <c r="S79" s="421" t="n"/>
      <c r="T79" s="421" t="n"/>
      <c r="U79" s="421" t="n"/>
      <c r="V79" s="421" t="n"/>
      <c r="W79" s="421" t="n"/>
      <c r="X79" s="421" t="n"/>
    </row>
    <row r="80">
      <c r="A80" s="421" t="n"/>
      <c r="B80" s="421" t="n"/>
      <c r="C80" s="453" t="n"/>
      <c r="D80" s="421" t="n"/>
      <c r="E80" s="421" t="n"/>
      <c r="F80" s="487" t="n"/>
      <c r="G80" s="421" t="n"/>
      <c r="H80" s="421" t="n"/>
      <c r="I80" s="421" t="n"/>
      <c r="J80" s="514" t="n"/>
      <c r="K80" s="454" t="n"/>
      <c r="L80" s="421" t="n"/>
      <c r="M80" s="421" t="n"/>
      <c r="N80" s="421" t="n"/>
      <c r="O80" s="421" t="n"/>
      <c r="P80" s="421" t="n"/>
      <c r="Q80" s="456" t="n"/>
      <c r="R80" s="421" t="n"/>
      <c r="S80" s="421" t="n"/>
      <c r="T80" s="421" t="n"/>
      <c r="U80" s="421" t="n"/>
      <c r="V80" s="421" t="n"/>
      <c r="W80" s="421" t="n"/>
      <c r="X80" s="421" t="n"/>
    </row>
    <row r="81">
      <c r="A81" s="421" t="n"/>
      <c r="B81" s="421" t="n"/>
      <c r="C81" s="453" t="n"/>
      <c r="D81" s="421" t="n"/>
      <c r="E81" s="421" t="n"/>
      <c r="F81" s="487" t="n"/>
      <c r="G81" s="421" t="n"/>
      <c r="H81" s="421" t="n"/>
      <c r="I81" s="421" t="n"/>
      <c r="J81" s="514" t="n"/>
      <c r="K81" s="454" t="n"/>
      <c r="L81" s="421" t="n"/>
      <c r="M81" s="421" t="n"/>
      <c r="N81" s="421" t="n"/>
      <c r="O81" s="421" t="n"/>
      <c r="P81" s="421" t="n"/>
      <c r="Q81" s="456" t="n"/>
      <c r="R81" s="421" t="n"/>
      <c r="S81" s="421" t="n"/>
      <c r="T81" s="421" t="n"/>
      <c r="U81" s="487" t="n"/>
      <c r="V81" s="421" t="n"/>
      <c r="W81" s="421" t="n"/>
      <c r="X81" s="421" t="n"/>
    </row>
    <row r="82">
      <c r="A82" s="421" t="n"/>
      <c r="B82" s="421" t="n"/>
      <c r="C82" s="453" t="n"/>
      <c r="D82" s="421" t="n"/>
      <c r="E82" s="421" t="n"/>
      <c r="F82" s="487" t="n"/>
      <c r="G82" s="421" t="n"/>
      <c r="H82" s="421" t="n"/>
      <c r="I82" s="421" t="n"/>
      <c r="J82" s="514" t="n"/>
      <c r="K82" s="454" t="n"/>
      <c r="L82" s="421" t="n"/>
      <c r="M82" s="421" t="n"/>
      <c r="N82" s="421" t="n"/>
      <c r="O82" s="421" t="n"/>
      <c r="P82" s="421" t="n"/>
      <c r="Q82" s="456" t="n"/>
      <c r="R82" s="421" t="n"/>
      <c r="S82" s="421" t="n"/>
      <c r="T82" s="421" t="n"/>
      <c r="U82" s="487" t="n"/>
      <c r="V82" s="421" t="n"/>
      <c r="W82" s="515" t="n"/>
      <c r="X82" s="515" t="n"/>
    </row>
    <row r="83">
      <c r="A83" s="421" t="n"/>
      <c r="B83" s="421" t="n"/>
      <c r="C83" s="453" t="n"/>
      <c r="D83" s="421" t="n"/>
      <c r="E83" s="421" t="n"/>
      <c r="F83" s="487" t="n"/>
      <c r="G83" s="421" t="n"/>
      <c r="H83" s="421" t="n"/>
      <c r="I83" s="421" t="n"/>
      <c r="J83" s="514" t="n"/>
      <c r="K83" s="454" t="n"/>
      <c r="L83" s="421" t="n"/>
      <c r="M83" s="421" t="n"/>
      <c r="N83" s="421" t="n"/>
      <c r="O83" s="421" t="n"/>
      <c r="P83" s="421" t="n"/>
      <c r="Q83" s="456" t="n"/>
      <c r="R83" s="421" t="n"/>
      <c r="S83" s="421" t="n"/>
      <c r="T83" s="421" t="n"/>
      <c r="U83" s="487" t="n"/>
      <c r="V83" s="421" t="n"/>
      <c r="W83" s="421" t="n"/>
      <c r="X83" s="421" t="n"/>
    </row>
    <row r="84">
      <c r="A84" s="421" t="n"/>
      <c r="B84" s="421" t="n"/>
      <c r="C84" s="453" t="n"/>
      <c r="D84" s="421" t="n"/>
      <c r="E84" s="421" t="n"/>
      <c r="F84" s="487" t="n"/>
      <c r="G84" s="421" t="n"/>
      <c r="H84" s="421" t="n"/>
      <c r="I84" s="421" t="n"/>
      <c r="J84" s="514" t="n"/>
      <c r="K84" s="454" t="n"/>
      <c r="L84" s="421" t="n"/>
      <c r="M84" s="421" t="n"/>
      <c r="N84" s="421" t="n"/>
      <c r="O84" s="421" t="n"/>
      <c r="P84" s="421" t="n"/>
      <c r="Q84" s="456" t="n"/>
      <c r="R84" s="421" t="n"/>
      <c r="S84" s="421" t="n"/>
      <c r="T84" s="421" t="n"/>
      <c r="U84" s="487" t="n"/>
      <c r="V84" s="421" t="n"/>
      <c r="W84" s="456" t="n"/>
      <c r="X84" s="456" t="n"/>
    </row>
    <row r="85">
      <c r="A85" s="421" t="n"/>
      <c r="B85" s="421" t="n"/>
      <c r="C85" s="453" t="n"/>
      <c r="D85" s="421" t="n"/>
      <c r="E85" s="421" t="n"/>
      <c r="F85" s="487" t="n"/>
      <c r="G85" s="421" t="n"/>
      <c r="H85" s="421" t="n"/>
      <c r="I85" s="421" t="n"/>
      <c r="J85" s="514" t="n"/>
      <c r="K85" s="454" t="n"/>
      <c r="L85" s="421" t="n"/>
      <c r="M85" s="421" t="n"/>
      <c r="N85" s="421" t="n"/>
      <c r="O85" s="421" t="n"/>
      <c r="P85" s="421" t="n"/>
      <c r="Q85" s="456" t="n"/>
      <c r="R85" s="421" t="n"/>
      <c r="S85" s="421" t="n"/>
      <c r="T85" s="421" t="n"/>
      <c r="U85" s="487" t="n"/>
      <c r="V85" s="421" t="n"/>
      <c r="W85" s="515" t="n"/>
      <c r="X85" s="515" t="n"/>
    </row>
    <row r="86">
      <c r="A86" s="421" t="n"/>
      <c r="B86" s="421" t="n"/>
      <c r="C86" s="453" t="n"/>
      <c r="D86" s="421" t="n"/>
      <c r="E86" s="421" t="n"/>
      <c r="F86" s="487" t="n"/>
      <c r="G86" s="421" t="n"/>
      <c r="H86" s="421" t="n"/>
      <c r="I86" s="421" t="n"/>
      <c r="J86" s="514" t="n"/>
      <c r="K86" s="454" t="n"/>
      <c r="L86" s="421" t="n"/>
      <c r="M86" s="421" t="n"/>
      <c r="N86" s="421" t="n"/>
      <c r="O86" s="421" t="n"/>
      <c r="P86" s="421" t="n"/>
      <c r="Q86" s="456" t="n"/>
      <c r="R86" s="421" t="n"/>
      <c r="S86" s="421" t="n"/>
      <c r="T86" s="421" t="n"/>
      <c r="U86" s="487" t="n"/>
      <c r="V86" s="421" t="n"/>
      <c r="W86" s="515" t="n"/>
      <c r="X86" s="515" t="n"/>
    </row>
    <row r="87">
      <c r="A87" s="421" t="n"/>
      <c r="B87" s="421" t="n"/>
      <c r="C87" s="453" t="n"/>
      <c r="D87" s="421" t="n"/>
      <c r="E87" s="421" t="n"/>
      <c r="F87" s="487" t="n"/>
      <c r="G87" s="421" t="n"/>
      <c r="H87" s="421" t="n"/>
      <c r="I87" s="421" t="n"/>
      <c r="J87" s="514" t="n"/>
      <c r="K87" s="454" t="n"/>
      <c r="L87" s="421" t="n"/>
      <c r="M87" s="421" t="n"/>
      <c r="N87" s="421" t="n"/>
      <c r="O87" s="421" t="n"/>
      <c r="P87" s="421" t="n"/>
      <c r="Q87" s="456" t="n"/>
      <c r="R87" s="421" t="n"/>
      <c r="S87" s="421" t="n"/>
      <c r="T87" s="421" t="n"/>
      <c r="U87" s="487" t="n"/>
      <c r="V87" s="421" t="n"/>
      <c r="W87" s="456" t="n"/>
      <c r="X87" s="456" t="n"/>
    </row>
    <row r="88">
      <c r="A88" s="421" t="n"/>
      <c r="B88" s="421" t="n"/>
      <c r="C88" s="453" t="n"/>
      <c r="D88" s="421" t="n"/>
      <c r="E88" s="421" t="n"/>
      <c r="F88" s="487" t="n"/>
      <c r="G88" s="421" t="n"/>
      <c r="H88" s="421" t="n"/>
      <c r="I88" s="421" t="n"/>
      <c r="J88" s="514" t="n"/>
      <c r="K88" s="454" t="n"/>
      <c r="L88" s="421" t="n"/>
      <c r="M88" s="421" t="n"/>
      <c r="N88" s="421" t="n"/>
      <c r="O88" s="421" t="n"/>
      <c r="P88" s="421" t="n"/>
      <c r="Q88" s="456" t="n"/>
      <c r="R88" s="421" t="n"/>
      <c r="S88" s="421" t="n"/>
      <c r="T88" s="421" t="n"/>
      <c r="U88" s="487" t="n"/>
      <c r="V88" s="421" t="n"/>
      <c r="W88" s="421" t="n"/>
      <c r="X88" s="421" t="n"/>
    </row>
    <row r="89">
      <c r="A89" s="421" t="n"/>
      <c r="B89" s="421" t="n"/>
      <c r="C89" s="453" t="n"/>
      <c r="D89" s="421" t="n"/>
      <c r="E89" s="421" t="n"/>
      <c r="F89" s="487" t="n"/>
      <c r="G89" s="421" t="n"/>
      <c r="H89" s="421" t="n"/>
      <c r="I89" s="421" t="n"/>
      <c r="J89" s="421" t="n"/>
      <c r="K89" s="454" t="n"/>
      <c r="L89" s="421" t="n"/>
      <c r="M89" s="421" t="n"/>
      <c r="N89" s="421" t="n"/>
      <c r="O89" s="421" t="n"/>
      <c r="P89" s="421" t="n"/>
      <c r="Q89" s="456" t="n"/>
      <c r="R89" s="421" t="n"/>
      <c r="S89" s="421" t="n"/>
      <c r="T89" s="421" t="n"/>
      <c r="U89" s="487" t="n"/>
      <c r="V89" s="421" t="n"/>
      <c r="W89" s="515" t="n"/>
      <c r="X89" s="515" t="n"/>
    </row>
    <row r="90">
      <c r="A90" s="421" t="n"/>
      <c r="B90" s="421" t="n"/>
      <c r="C90" s="453" t="n"/>
      <c r="D90" s="421" t="n"/>
      <c r="E90" s="421" t="n"/>
      <c r="F90" s="487" t="n"/>
      <c r="G90" s="421" t="n"/>
      <c r="H90" s="421" t="n"/>
      <c r="I90" s="421" t="n"/>
      <c r="J90" s="421" t="n"/>
      <c r="K90" s="454" t="n"/>
      <c r="L90" s="421" t="n"/>
      <c r="M90" s="421" t="n"/>
      <c r="N90" s="421" t="n"/>
      <c r="O90" s="421" t="n"/>
      <c r="P90" s="421" t="n"/>
      <c r="Q90" s="456" t="n"/>
      <c r="R90" s="421" t="n"/>
      <c r="S90" s="421" t="n"/>
      <c r="T90" s="421" t="n"/>
      <c r="U90" s="487" t="n"/>
      <c r="V90" s="421" t="n"/>
      <c r="W90" s="421" t="n"/>
      <c r="X90" s="421" t="n"/>
    </row>
    <row r="91">
      <c r="A91" s="421" t="n"/>
      <c r="B91" s="421" t="n"/>
      <c r="C91" s="453" t="n"/>
      <c r="D91" s="421" t="n"/>
      <c r="E91" s="421" t="n"/>
      <c r="F91" s="487" t="n"/>
      <c r="G91" s="421" t="n"/>
      <c r="H91" s="421" t="n"/>
      <c r="I91" s="421" t="n"/>
      <c r="J91" s="421" t="n"/>
      <c r="K91" s="454" t="n"/>
      <c r="L91" s="421" t="n"/>
      <c r="M91" s="421" t="n"/>
      <c r="N91" s="421" t="n"/>
      <c r="O91" s="421" t="n"/>
      <c r="P91" s="421" t="n"/>
      <c r="Q91" s="456" t="n"/>
      <c r="R91" s="421" t="n"/>
      <c r="S91" s="421" t="n"/>
      <c r="T91" s="421" t="n"/>
      <c r="U91" s="487" t="n"/>
      <c r="V91" s="421" t="n"/>
      <c r="W91" s="421" t="n"/>
      <c r="X91" s="421" t="n"/>
    </row>
    <row r="92">
      <c r="A92" s="421" t="n"/>
      <c r="B92" s="421" t="n"/>
      <c r="C92" s="453" t="n"/>
      <c r="D92" s="421" t="n"/>
      <c r="E92" s="421" t="n"/>
      <c r="F92" s="487" t="n"/>
      <c r="G92" s="421" t="n"/>
      <c r="H92" s="421" t="n"/>
      <c r="I92" s="421" t="n"/>
      <c r="J92" s="421" t="n"/>
      <c r="K92" s="454" t="n"/>
      <c r="L92" s="421" t="n"/>
      <c r="M92" s="421" t="n"/>
      <c r="N92" s="421" t="n"/>
      <c r="O92" s="421" t="n"/>
      <c r="P92" s="421" t="n"/>
      <c r="Q92" s="456" t="n"/>
      <c r="R92" s="421" t="n"/>
      <c r="S92" s="421" t="n"/>
      <c r="T92" s="421" t="n"/>
      <c r="U92" s="487" t="n"/>
      <c r="V92" s="421" t="n"/>
      <c r="W92" s="421" t="n"/>
      <c r="X92" s="421" t="n"/>
    </row>
    <row r="93">
      <c r="A93" s="421" t="n"/>
      <c r="B93" s="421" t="n"/>
      <c r="C93" s="453" t="n"/>
      <c r="D93" s="421" t="n"/>
      <c r="E93" s="421" t="n"/>
      <c r="F93" s="487" t="n"/>
      <c r="G93" s="421" t="n"/>
      <c r="H93" s="421" t="n"/>
      <c r="I93" s="421" t="n"/>
      <c r="J93" s="514" t="n"/>
      <c r="K93" s="454" t="n"/>
      <c r="L93" s="421" t="n"/>
      <c r="M93" s="421" t="n"/>
      <c r="N93" s="421" t="n"/>
      <c r="O93" s="421" t="n"/>
      <c r="P93" s="421" t="n"/>
      <c r="Q93" s="515" t="n"/>
      <c r="R93" s="421" t="n"/>
      <c r="S93" s="421" t="n"/>
      <c r="T93" s="421" t="n"/>
      <c r="U93" s="454" t="n"/>
      <c r="V93" s="421" t="n"/>
      <c r="W93" s="421" t="n"/>
      <c r="X93" s="421" t="n"/>
    </row>
    <row r="94">
      <c r="A94" s="421" t="n"/>
      <c r="B94" s="421" t="n"/>
      <c r="C94" s="453" t="n"/>
      <c r="D94" s="421" t="n"/>
      <c r="E94" s="421" t="n"/>
      <c r="F94" s="487" t="n"/>
      <c r="G94" s="421" t="n"/>
      <c r="H94" s="421" t="n"/>
      <c r="I94" s="421" t="n"/>
      <c r="J94" s="514" t="n"/>
      <c r="K94" s="454" t="n"/>
      <c r="L94" s="421" t="n"/>
      <c r="M94" s="421" t="n"/>
      <c r="N94" s="421" t="n"/>
      <c r="O94" s="421" t="n"/>
      <c r="P94" s="421" t="n"/>
      <c r="Q94" s="515" t="n"/>
      <c r="R94" s="421" t="n"/>
      <c r="S94" s="421" t="n"/>
      <c r="T94" s="421" t="n"/>
      <c r="U94" s="487" t="n"/>
      <c r="V94" s="421" t="n"/>
      <c r="W94" s="421" t="n"/>
      <c r="X94" s="421" t="n"/>
    </row>
    <row r="95">
      <c r="A95" s="421" t="n"/>
      <c r="B95" s="421" t="n"/>
      <c r="C95" s="453" t="n"/>
      <c r="D95" s="421" t="n"/>
      <c r="E95" s="421" t="n"/>
      <c r="F95" s="487" t="n"/>
      <c r="G95" s="421" t="n"/>
      <c r="H95" s="421" t="n"/>
      <c r="I95" s="421" t="n"/>
      <c r="J95" s="514" t="n"/>
      <c r="K95" s="454" t="n"/>
      <c r="L95" s="421" t="n"/>
      <c r="M95" s="421" t="n"/>
      <c r="N95" s="421" t="n"/>
      <c r="O95" s="421" t="n"/>
      <c r="P95" s="421" t="n"/>
      <c r="Q95" s="515" t="n"/>
      <c r="R95" s="421" t="n"/>
      <c r="S95" s="421" t="n"/>
      <c r="T95" s="421" t="n"/>
      <c r="U95" s="487" t="n"/>
      <c r="V95" s="421" t="n"/>
      <c r="W95" s="421" t="n"/>
      <c r="X95" s="421" t="n"/>
    </row>
    <row r="96">
      <c r="A96" s="421" t="n"/>
      <c r="B96" s="421" t="n"/>
      <c r="C96" s="453" t="n"/>
      <c r="D96" s="421" t="n"/>
      <c r="E96" s="421" t="n"/>
      <c r="F96" s="487" t="n"/>
      <c r="G96" s="421" t="n"/>
      <c r="H96" s="421" t="n"/>
      <c r="I96" s="421" t="n"/>
      <c r="J96" s="514" t="n"/>
      <c r="K96" s="454" t="n"/>
      <c r="L96" s="421" t="n"/>
      <c r="M96" s="421" t="n"/>
      <c r="N96" s="421" t="n"/>
      <c r="O96" s="421" t="n"/>
      <c r="P96" s="421" t="n"/>
      <c r="Q96" s="456" t="n"/>
      <c r="R96" s="421" t="n"/>
      <c r="S96" s="421" t="n"/>
      <c r="T96" s="421" t="n"/>
      <c r="U96" s="487" t="n"/>
      <c r="V96" s="421" t="n"/>
      <c r="W96" s="421" t="n"/>
      <c r="X96" s="421" t="n"/>
    </row>
    <row r="97">
      <c r="A97" s="421" t="n"/>
      <c r="B97" s="421" t="n"/>
      <c r="C97" s="453" t="n"/>
      <c r="D97" s="421" t="n"/>
      <c r="E97" s="421" t="n"/>
      <c r="F97" s="487" t="n"/>
      <c r="G97" s="421" t="n"/>
      <c r="H97" s="421" t="n"/>
      <c r="I97" s="421" t="n"/>
      <c r="J97" s="514" t="n"/>
      <c r="K97" s="454" t="n"/>
      <c r="L97" s="421" t="n"/>
      <c r="M97" s="421" t="n"/>
      <c r="N97" s="421" t="n"/>
      <c r="O97" s="421" t="n"/>
      <c r="P97" s="421" t="n"/>
      <c r="Q97" s="515" t="n"/>
      <c r="R97" s="421" t="n"/>
      <c r="S97" s="421" t="n"/>
      <c r="T97" s="421" t="n"/>
      <c r="U97" s="487" t="n"/>
      <c r="V97" s="421" t="n"/>
      <c r="W97" s="421" t="n"/>
      <c r="X97" s="421" t="n"/>
    </row>
    <row r="98">
      <c r="A98" s="421" t="n"/>
      <c r="B98" s="421" t="n"/>
      <c r="C98" s="453" t="n"/>
      <c r="D98" s="421" t="n"/>
      <c r="E98" s="421" t="n"/>
      <c r="F98" s="487" t="n"/>
      <c r="G98" s="421" t="n"/>
      <c r="H98" s="421" t="n"/>
      <c r="I98" s="421" t="n"/>
      <c r="J98" s="514" t="n"/>
      <c r="K98" s="454" t="n"/>
      <c r="L98" s="421" t="n"/>
      <c r="M98" s="421" t="n"/>
      <c r="N98" s="421" t="n"/>
      <c r="O98" s="421" t="n"/>
      <c r="P98" s="421" t="n"/>
      <c r="Q98" s="456" t="n"/>
      <c r="R98" s="421" t="n"/>
      <c r="S98" s="421" t="n"/>
      <c r="T98" s="421" t="n"/>
      <c r="U98" s="487" t="n"/>
      <c r="V98" s="421" t="n"/>
      <c r="W98" s="421" t="n"/>
      <c r="X98" s="421" t="n"/>
    </row>
    <row r="99">
      <c r="A99" s="421" t="n"/>
      <c r="B99" s="421" t="n"/>
      <c r="C99" s="453" t="n"/>
      <c r="D99" s="421" t="n"/>
      <c r="E99" s="421" t="n"/>
      <c r="F99" s="487" t="n"/>
      <c r="G99" s="421" t="n"/>
      <c r="H99" s="421" t="n"/>
      <c r="I99" s="421" t="n"/>
      <c r="J99" s="514" t="n"/>
      <c r="K99" s="454" t="n"/>
      <c r="L99" s="421" t="n"/>
      <c r="M99" s="421" t="n"/>
      <c r="N99" s="421" t="n"/>
      <c r="O99" s="421" t="n"/>
      <c r="P99" s="421" t="n"/>
      <c r="Q99" s="456" t="n"/>
      <c r="R99" s="421" t="n"/>
      <c r="S99" s="421" t="n"/>
      <c r="T99" s="421" t="n"/>
      <c r="U99" s="487" t="n"/>
      <c r="V99" s="421" t="n"/>
      <c r="W99" s="421" t="n"/>
      <c r="X99" s="421" t="n"/>
    </row>
    <row r="100">
      <c r="A100" s="421" t="n"/>
      <c r="B100" s="421" t="n"/>
      <c r="C100" s="453" t="n"/>
      <c r="D100" s="421" t="n"/>
      <c r="E100" s="421" t="n"/>
      <c r="F100" s="487" t="n"/>
      <c r="G100" s="421" t="n"/>
      <c r="H100" s="421" t="n"/>
      <c r="I100" s="421" t="n"/>
      <c r="J100" s="514" t="n"/>
      <c r="K100" s="454" t="n"/>
      <c r="L100" s="421" t="n"/>
      <c r="M100" s="421" t="n"/>
      <c r="N100" s="421" t="n"/>
      <c r="O100" s="421" t="n"/>
      <c r="P100" s="421" t="n"/>
      <c r="Q100" s="456" t="n"/>
      <c r="R100" s="421" t="n"/>
      <c r="S100" s="421" t="n"/>
      <c r="T100" s="421" t="n"/>
      <c r="U100" s="487" t="n"/>
      <c r="V100" s="421" t="n"/>
      <c r="W100" s="421" t="n"/>
      <c r="X100" s="421" t="n"/>
    </row>
    <row r="101">
      <c r="A101" s="421" t="n"/>
      <c r="B101" s="421" t="n"/>
      <c r="C101" s="453" t="n"/>
      <c r="D101" s="421" t="n"/>
      <c r="E101" s="421" t="n"/>
      <c r="F101" s="487" t="n"/>
      <c r="G101" s="421" t="n"/>
      <c r="H101" s="421" t="n"/>
      <c r="I101" s="421" t="n"/>
      <c r="J101" s="514" t="n"/>
      <c r="K101" s="454" t="n"/>
      <c r="L101" s="421" t="n"/>
      <c r="M101" s="421" t="n"/>
      <c r="N101" s="421" t="n"/>
      <c r="O101" s="421" t="n"/>
      <c r="P101" s="421" t="n"/>
      <c r="Q101" s="515" t="n"/>
      <c r="R101" s="421" t="n"/>
      <c r="S101" s="421" t="n"/>
      <c r="T101" s="421" t="n"/>
      <c r="U101" s="487" t="n"/>
      <c r="V101" s="421" t="n"/>
      <c r="W101" s="456" t="n"/>
      <c r="X101" s="456" t="n"/>
    </row>
    <row r="102">
      <c r="A102" s="421" t="n"/>
      <c r="B102" s="421" t="n"/>
      <c r="C102" s="453" t="n"/>
      <c r="D102" s="421" t="n"/>
      <c r="E102" s="421" t="n"/>
      <c r="F102" s="487" t="n"/>
      <c r="G102" s="421" t="n"/>
      <c r="H102" s="421" t="n"/>
      <c r="I102" s="421" t="n"/>
      <c r="J102" s="514" t="n"/>
      <c r="K102" s="454" t="n"/>
      <c r="L102" s="421" t="n"/>
      <c r="M102" s="421" t="n"/>
      <c r="N102" s="456" t="n"/>
      <c r="O102" s="421" t="n"/>
      <c r="P102" s="421" t="n"/>
      <c r="Q102" s="456" t="n"/>
      <c r="R102" s="421" t="n"/>
      <c r="S102" s="421" t="n"/>
      <c r="T102" s="421" t="n"/>
      <c r="U102" s="487" t="n"/>
      <c r="V102" s="421" t="n"/>
      <c r="W102" s="456" t="n"/>
      <c r="X102" s="456" t="n"/>
    </row>
    <row r="103">
      <c r="A103" s="421" t="n"/>
      <c r="B103" s="421" t="n"/>
      <c r="C103" s="453" t="n"/>
      <c r="D103" s="421" t="n"/>
      <c r="E103" s="421" t="n"/>
      <c r="F103" s="487" t="n"/>
      <c r="G103" s="421" t="n"/>
      <c r="H103" s="421" t="n"/>
      <c r="I103" s="421" t="n"/>
      <c r="J103" s="514" t="n"/>
      <c r="K103" s="454" t="n"/>
      <c r="L103" s="421" t="n"/>
      <c r="M103" s="421" t="n"/>
      <c r="N103" s="421" t="n"/>
      <c r="O103" s="421" t="n"/>
      <c r="P103" s="421" t="n"/>
      <c r="Q103" s="456" t="n"/>
      <c r="R103" s="421" t="n"/>
      <c r="S103" s="421" t="n"/>
      <c r="T103" s="421" t="n"/>
      <c r="U103" s="487" t="n"/>
      <c r="V103" s="421" t="n"/>
      <c r="W103" s="515" t="n"/>
      <c r="X103" s="515" t="n"/>
    </row>
    <row r="104">
      <c r="A104" s="421" t="n"/>
      <c r="B104" s="421" t="n"/>
      <c r="C104" s="453" t="n"/>
      <c r="D104" s="421" t="n"/>
      <c r="E104" s="421" t="n"/>
      <c r="F104" s="487" t="n"/>
      <c r="G104" s="421" t="n"/>
      <c r="H104" s="421" t="n"/>
      <c r="I104" s="421" t="n"/>
      <c r="J104" s="514" t="n"/>
      <c r="K104" s="454" t="n"/>
      <c r="L104" s="421" t="n"/>
      <c r="M104" s="421" t="n"/>
      <c r="N104" s="421" t="n"/>
      <c r="O104" s="421" t="n"/>
      <c r="P104" s="421" t="n"/>
      <c r="Q104" s="456" t="n"/>
      <c r="R104" s="421" t="n"/>
      <c r="S104" s="421" t="n"/>
      <c r="T104" s="421" t="n"/>
      <c r="U104" s="487" t="n"/>
      <c r="V104" s="421" t="n"/>
      <c r="W104" s="421" t="n"/>
      <c r="X104" s="421" t="n"/>
    </row>
    <row r="105">
      <c r="A105" s="421" t="n"/>
      <c r="B105" s="421" t="n"/>
      <c r="C105" s="453" t="n"/>
      <c r="D105" s="421" t="n"/>
      <c r="E105" s="421" t="n"/>
      <c r="F105" s="487" t="n"/>
      <c r="G105" s="421" t="n"/>
      <c r="H105" s="421" t="n"/>
      <c r="I105" s="421" t="n"/>
      <c r="J105" s="514" t="n"/>
      <c r="K105" s="454" t="n"/>
      <c r="L105" s="421" t="n"/>
      <c r="M105" s="421" t="n"/>
      <c r="N105" s="456" t="n"/>
      <c r="O105" s="421" t="n"/>
      <c r="P105" s="421" t="n"/>
      <c r="Q105" s="456" t="n"/>
      <c r="R105" s="421" t="n"/>
      <c r="S105" s="421" t="n"/>
      <c r="T105" s="421" t="n"/>
      <c r="U105" s="487" t="n"/>
      <c r="V105" s="421" t="n"/>
      <c r="W105" s="421" t="n"/>
      <c r="X105" s="421" t="n"/>
    </row>
    <row r="106">
      <c r="A106" s="421" t="n"/>
      <c r="B106" s="421" t="n"/>
      <c r="C106" s="453" t="n"/>
      <c r="D106" s="421" t="n"/>
      <c r="E106" s="421" t="n"/>
      <c r="F106" s="487" t="n"/>
      <c r="G106" s="421" t="n"/>
      <c r="H106" s="421" t="n"/>
      <c r="I106" s="421" t="n"/>
      <c r="J106" s="514" t="n"/>
      <c r="K106" s="454" t="n"/>
      <c r="L106" s="421" t="n"/>
      <c r="M106" s="421" t="n"/>
      <c r="N106" s="421" t="n"/>
      <c r="O106" s="421" t="n"/>
      <c r="P106" s="421" t="n"/>
      <c r="Q106" s="456" t="n"/>
      <c r="R106" s="421" t="n"/>
      <c r="S106" s="421" t="n"/>
      <c r="T106" s="421" t="n"/>
      <c r="U106" s="487" t="n"/>
      <c r="V106" s="421" t="n"/>
      <c r="W106" s="456" t="n"/>
      <c r="X106" s="456" t="n"/>
    </row>
    <row r="107">
      <c r="A107" s="421" t="n"/>
      <c r="B107" s="421" t="n"/>
      <c r="C107" s="453" t="n"/>
      <c r="D107" s="421" t="n"/>
      <c r="E107" s="421" t="n"/>
      <c r="F107" s="487" t="n"/>
      <c r="G107" s="421" t="n"/>
      <c r="H107" s="421" t="n"/>
      <c r="I107" s="421" t="n"/>
      <c r="J107" s="514" t="n"/>
      <c r="K107" s="454" t="n"/>
      <c r="L107" s="421" t="n"/>
      <c r="M107" s="421" t="n"/>
      <c r="N107" s="421" t="n"/>
      <c r="O107" s="421" t="n"/>
      <c r="P107" s="421" t="n"/>
      <c r="Q107" s="456" t="n"/>
      <c r="R107" s="421" t="n"/>
      <c r="S107" s="421" t="n"/>
      <c r="T107" s="421" t="n"/>
      <c r="U107" s="487" t="n"/>
      <c r="V107" s="421" t="n"/>
      <c r="W107" s="421" t="n"/>
      <c r="X107" s="421" t="n"/>
    </row>
    <row r="108">
      <c r="A108" s="421" t="n"/>
      <c r="B108" s="421" t="n"/>
      <c r="C108" s="453" t="n"/>
      <c r="D108" s="421" t="n"/>
      <c r="E108" s="421" t="n"/>
      <c r="F108" s="487" t="n"/>
      <c r="G108" s="421" t="n"/>
      <c r="H108" s="421" t="n"/>
      <c r="I108" s="421" t="n"/>
      <c r="J108" s="514" t="n"/>
      <c r="K108" s="454" t="n"/>
      <c r="L108" s="421" t="n"/>
      <c r="M108" s="421" t="n"/>
      <c r="N108" s="421" t="n"/>
      <c r="O108" s="421" t="n"/>
      <c r="P108" s="421" t="n"/>
      <c r="Q108" s="456" t="n"/>
      <c r="R108" s="421" t="n"/>
      <c r="S108" s="421" t="n"/>
      <c r="T108" s="421" t="n"/>
      <c r="U108" s="487" t="n"/>
      <c r="V108" s="421" t="n"/>
      <c r="W108" s="421" t="n"/>
      <c r="X108" s="421" t="n"/>
    </row>
    <row r="109">
      <c r="A109" s="421" t="n"/>
      <c r="B109" s="421" t="n"/>
      <c r="C109" s="453" t="n"/>
      <c r="D109" s="421" t="n"/>
      <c r="E109" s="421" t="n"/>
      <c r="F109" s="487" t="n"/>
      <c r="G109" s="421" t="n"/>
      <c r="H109" s="421" t="n"/>
      <c r="I109" s="421" t="n"/>
      <c r="J109" s="514" t="n"/>
      <c r="K109" s="454" t="n"/>
      <c r="L109" s="421" t="n"/>
      <c r="M109" s="421" t="n"/>
      <c r="N109" s="421" t="n"/>
      <c r="O109" s="421" t="n"/>
      <c r="P109" s="421" t="n"/>
      <c r="Q109" s="456" t="n"/>
      <c r="R109" s="421" t="n"/>
      <c r="S109" s="421" t="n"/>
      <c r="T109" s="421" t="n"/>
      <c r="U109" s="487" t="n"/>
      <c r="V109" s="421" t="n"/>
      <c r="W109" s="515" t="n"/>
      <c r="X109" s="515" t="n"/>
    </row>
    <row r="110">
      <c r="A110" s="421" t="n"/>
      <c r="B110" s="421" t="n"/>
      <c r="C110" s="453" t="n"/>
      <c r="D110" s="421" t="n"/>
      <c r="E110" s="421" t="n"/>
      <c r="F110" s="487" t="n"/>
      <c r="G110" s="421" t="n"/>
      <c r="H110" s="421" t="n"/>
      <c r="I110" s="421" t="n"/>
      <c r="J110" s="514" t="n"/>
      <c r="K110" s="454" t="n"/>
      <c r="L110" s="421" t="n"/>
      <c r="M110" s="421" t="n"/>
      <c r="N110" s="421" t="n"/>
      <c r="O110" s="421" t="n"/>
      <c r="P110" s="421" t="n"/>
      <c r="Q110" s="456" t="n"/>
      <c r="R110" s="421" t="n"/>
      <c r="S110" s="421" t="n"/>
      <c r="T110" s="421" t="n"/>
      <c r="U110" s="487" t="n"/>
      <c r="V110" s="421" t="n"/>
      <c r="W110" s="515" t="n"/>
      <c r="X110" s="515" t="n"/>
    </row>
    <row r="111">
      <c r="A111" s="421" t="n"/>
      <c r="B111" s="421" t="n"/>
      <c r="C111" s="453" t="n"/>
      <c r="D111" s="421" t="n"/>
      <c r="E111" s="421" t="n"/>
      <c r="F111" s="487" t="n"/>
      <c r="G111" s="421" t="n"/>
      <c r="H111" s="421" t="n"/>
      <c r="I111" s="421" t="n"/>
      <c r="J111" s="514" t="n"/>
      <c r="K111" s="454" t="n"/>
      <c r="L111" s="421" t="n"/>
      <c r="M111" s="421" t="n"/>
      <c r="N111" s="421" t="n"/>
      <c r="O111" s="421" t="n"/>
      <c r="P111" s="421" t="n"/>
      <c r="Q111" s="456" t="n"/>
      <c r="R111" s="421" t="n"/>
      <c r="S111" s="421" t="n"/>
      <c r="T111" s="421" t="n"/>
      <c r="U111" s="487" t="n"/>
      <c r="V111" s="421" t="n"/>
      <c r="W111" s="456" t="n"/>
      <c r="X111" s="456" t="n"/>
    </row>
    <row r="112">
      <c r="A112" s="421" t="n"/>
      <c r="B112" s="421" t="n"/>
      <c r="C112" s="453" t="n"/>
      <c r="D112" s="421" t="n"/>
      <c r="E112" s="421" t="n"/>
      <c r="F112" s="487" t="n"/>
      <c r="G112" s="421" t="n"/>
      <c r="H112" s="421" t="n"/>
      <c r="I112" s="421" t="n"/>
      <c r="J112" s="514" t="n"/>
      <c r="K112" s="454" t="n"/>
      <c r="L112" s="421" t="n"/>
      <c r="M112" s="421" t="n"/>
      <c r="N112" s="421" t="n"/>
      <c r="O112" s="421" t="n"/>
      <c r="P112" s="421" t="n"/>
      <c r="Q112" s="456" t="n"/>
      <c r="R112" s="421" t="n"/>
      <c r="S112" s="421" t="n"/>
      <c r="T112" s="421" t="n"/>
      <c r="U112" s="487" t="n"/>
      <c r="V112" s="421" t="n"/>
      <c r="W112" s="421" t="n"/>
      <c r="X112" s="421" t="n"/>
    </row>
    <row r="113">
      <c r="A113" s="421" t="n"/>
      <c r="B113" s="421" t="n"/>
      <c r="C113" s="453" t="n"/>
      <c r="D113" s="421" t="n"/>
      <c r="E113" s="421" t="n"/>
      <c r="F113" s="487" t="n"/>
      <c r="G113" s="421" t="n"/>
      <c r="H113" s="421" t="n"/>
      <c r="I113" s="421" t="n"/>
      <c r="J113" s="514" t="n"/>
      <c r="K113" s="454" t="n"/>
      <c r="L113" s="421" t="n"/>
      <c r="M113" s="421" t="n"/>
      <c r="N113" s="421" t="n"/>
      <c r="O113" s="421" t="n"/>
      <c r="P113" s="421" t="n"/>
      <c r="Q113" s="456" t="n"/>
      <c r="R113" s="421" t="n"/>
      <c r="S113" s="421" t="n"/>
      <c r="T113" s="421" t="n"/>
      <c r="U113" s="487" t="n"/>
      <c r="V113" s="421" t="n"/>
      <c r="W113" s="515" t="n"/>
      <c r="X113" s="515" t="n"/>
    </row>
    <row r="114">
      <c r="A114" s="421" t="n"/>
      <c r="B114" s="421" t="n"/>
      <c r="C114" s="453" t="n"/>
      <c r="D114" s="421" t="n"/>
      <c r="E114" s="421" t="n"/>
      <c r="F114" s="487" t="n"/>
      <c r="G114" s="421" t="n"/>
      <c r="H114" s="421" t="n"/>
      <c r="I114" s="421" t="n"/>
      <c r="J114" s="514" t="n"/>
      <c r="K114" s="454" t="n"/>
      <c r="L114" s="421" t="n"/>
      <c r="M114" s="421" t="n"/>
      <c r="N114" s="421" t="n"/>
      <c r="O114" s="421" t="n"/>
      <c r="P114" s="421" t="n"/>
      <c r="Q114" s="456" t="n"/>
      <c r="R114" s="421" t="n"/>
      <c r="S114" s="421" t="n"/>
      <c r="T114" s="421" t="n"/>
      <c r="U114" s="487" t="n"/>
      <c r="V114" s="421" t="n"/>
      <c r="W114" s="421" t="n"/>
      <c r="X114" s="421" t="n"/>
    </row>
    <row r="115">
      <c r="A115" s="421" t="n"/>
      <c r="B115" s="421" t="n"/>
      <c r="C115" s="453" t="n"/>
      <c r="D115" s="421" t="n"/>
      <c r="E115" s="421" t="n"/>
      <c r="F115" s="487" t="n"/>
      <c r="G115" s="421" t="n"/>
      <c r="H115" s="421" t="n"/>
      <c r="I115" s="421" t="n"/>
      <c r="J115" s="514" t="n"/>
      <c r="K115" s="454" t="n"/>
      <c r="L115" s="421" t="n"/>
      <c r="M115" s="421" t="n"/>
      <c r="N115" s="421" t="n"/>
      <c r="O115" s="421" t="n"/>
      <c r="P115" s="421" t="n"/>
      <c r="Q115" s="456" t="n"/>
      <c r="R115" s="421" t="n"/>
      <c r="S115" s="421" t="n"/>
      <c r="T115" s="421" t="n"/>
      <c r="U115" s="487" t="n"/>
      <c r="V115" s="421" t="n"/>
      <c r="W115" s="421" t="n"/>
      <c r="X115" s="421" t="n"/>
    </row>
    <row r="116">
      <c r="A116" s="421" t="n"/>
      <c r="B116" s="421" t="n"/>
      <c r="C116" s="453" t="n"/>
      <c r="D116" s="421" t="n"/>
      <c r="E116" s="421" t="n"/>
      <c r="F116" s="487" t="n"/>
      <c r="G116" s="421" t="n"/>
      <c r="H116" s="421" t="n"/>
      <c r="I116" s="421" t="n"/>
      <c r="J116" s="514" t="n"/>
      <c r="K116" s="454" t="n"/>
      <c r="L116" s="421" t="n"/>
      <c r="M116" s="421" t="n"/>
      <c r="N116" s="421" t="n"/>
      <c r="O116" s="421" t="n"/>
      <c r="P116" s="421" t="n"/>
      <c r="Q116" s="456" t="n"/>
      <c r="R116" s="421" t="n"/>
      <c r="S116" s="421" t="n"/>
      <c r="T116" s="421" t="n"/>
      <c r="U116" s="487" t="n"/>
      <c r="V116" s="421" t="n"/>
      <c r="W116" s="421" t="n"/>
      <c r="X116" s="421" t="n"/>
    </row>
    <row r="117">
      <c r="A117" s="421" t="n"/>
      <c r="B117" s="421" t="n"/>
      <c r="C117" s="453" t="n"/>
      <c r="D117" s="421" t="n"/>
      <c r="E117" s="421" t="n"/>
      <c r="F117" s="487" t="n"/>
      <c r="G117" s="421" t="n"/>
      <c r="H117" s="421" t="n"/>
      <c r="I117" s="421" t="n"/>
      <c r="J117" s="514" t="n"/>
      <c r="K117" s="454" t="n"/>
      <c r="L117" s="421" t="n"/>
      <c r="M117" s="421" t="n"/>
      <c r="N117" s="421" t="n"/>
      <c r="O117" s="421" t="n"/>
      <c r="P117" s="421" t="n"/>
      <c r="Q117" s="515" t="n"/>
      <c r="R117" s="421" t="n"/>
      <c r="S117" s="421" t="n"/>
      <c r="T117" s="421" t="n"/>
      <c r="U117" s="516" t="n"/>
      <c r="V117" s="421" t="n"/>
      <c r="W117" s="421" t="n"/>
      <c r="X117" s="421" t="n"/>
    </row>
    <row r="118">
      <c r="A118" s="421" t="n"/>
      <c r="B118" s="421" t="n"/>
      <c r="C118" s="453" t="n"/>
      <c r="D118" s="421" t="n"/>
      <c r="E118" s="421" t="n"/>
      <c r="F118" s="487" t="n"/>
      <c r="G118" s="421" t="n"/>
      <c r="H118" s="421" t="n"/>
      <c r="I118" s="421" t="n"/>
      <c r="J118" s="514" t="n"/>
      <c r="K118" s="454" t="n"/>
      <c r="L118" s="421" t="n"/>
      <c r="M118" s="421" t="n"/>
      <c r="N118" s="421" t="n"/>
      <c r="O118" s="421" t="n"/>
      <c r="P118" s="421" t="n"/>
      <c r="Q118" s="515" t="n"/>
      <c r="R118" s="421" t="n"/>
      <c r="S118" s="421" t="n"/>
      <c r="T118" s="421" t="n"/>
      <c r="U118" s="421" t="n"/>
      <c r="V118" s="421" t="n"/>
      <c r="W118" s="421" t="n"/>
      <c r="X118" s="421" t="n"/>
    </row>
    <row r="119">
      <c r="A119" s="421" t="n"/>
      <c r="B119" s="421" t="n"/>
      <c r="C119" s="453" t="n"/>
      <c r="D119" s="421" t="n"/>
      <c r="E119" s="421" t="n"/>
      <c r="F119" s="487" t="n"/>
      <c r="G119" s="421" t="n"/>
      <c r="H119" s="421" t="n"/>
      <c r="I119" s="421" t="n"/>
      <c r="J119" s="514" t="n"/>
      <c r="K119" s="454" t="n"/>
      <c r="L119" s="421" t="n"/>
      <c r="M119" s="421" t="n"/>
      <c r="N119" s="421" t="n"/>
      <c r="O119" s="421" t="n"/>
      <c r="P119" s="421" t="n"/>
      <c r="Q119" s="515" t="n"/>
      <c r="R119" s="421" t="n"/>
      <c r="S119" s="421" t="n"/>
      <c r="T119" s="421" t="n"/>
      <c r="U119" s="421" t="n"/>
      <c r="V119" s="421" t="n"/>
      <c r="W119" s="421" t="n"/>
      <c r="X119" s="421" t="n"/>
    </row>
    <row r="120">
      <c r="A120" s="421" t="n"/>
      <c r="B120" s="421" t="n"/>
      <c r="C120" s="453" t="n"/>
      <c r="D120" s="421" t="n"/>
      <c r="E120" s="421" t="n"/>
      <c r="F120" s="487" t="n"/>
      <c r="G120" s="421" t="n"/>
      <c r="H120" s="421" t="n"/>
      <c r="I120" s="421" t="n"/>
      <c r="J120" s="514" t="n"/>
      <c r="K120" s="454" t="n"/>
      <c r="L120" s="421" t="n"/>
      <c r="M120" s="421" t="n"/>
      <c r="N120" s="421" t="n"/>
      <c r="O120" s="421" t="n"/>
      <c r="P120" s="421" t="n"/>
      <c r="Q120" s="515" t="n"/>
      <c r="R120" s="421" t="n"/>
      <c r="S120" s="421" t="n"/>
      <c r="T120" s="421" t="n"/>
      <c r="U120" s="421" t="n"/>
      <c r="V120" s="421" t="n"/>
      <c r="W120" s="421" t="n"/>
      <c r="X120" s="421" t="n"/>
    </row>
    <row r="121">
      <c r="A121" s="421" t="n"/>
      <c r="B121" s="421" t="n"/>
      <c r="C121" s="453" t="n"/>
      <c r="D121" s="421" t="n"/>
      <c r="E121" s="421" t="n"/>
      <c r="F121" s="487" t="n"/>
      <c r="G121" s="421" t="n"/>
      <c r="H121" s="421" t="n"/>
      <c r="I121" s="421" t="n"/>
      <c r="J121" s="514" t="n"/>
      <c r="K121" s="454" t="n"/>
      <c r="L121" s="421" t="n"/>
      <c r="M121" s="421" t="n"/>
      <c r="N121" s="421" t="n"/>
      <c r="O121" s="421" t="n"/>
      <c r="P121" s="421" t="n"/>
      <c r="Q121" s="456" t="n"/>
      <c r="R121" s="421" t="n"/>
      <c r="S121" s="421" t="n"/>
      <c r="T121" s="421" t="n"/>
      <c r="U121" s="421" t="n"/>
      <c r="V121" s="421" t="n"/>
      <c r="W121" s="421" t="n"/>
      <c r="X121" s="421" t="n"/>
    </row>
    <row r="122">
      <c r="A122" s="421" t="n"/>
      <c r="B122" s="421" t="n"/>
      <c r="C122" s="453" t="n"/>
      <c r="D122" s="421" t="n"/>
      <c r="E122" s="421" t="n"/>
      <c r="F122" s="487" t="n"/>
      <c r="G122" s="421" t="n"/>
      <c r="H122" s="421" t="n"/>
      <c r="I122" s="421" t="n"/>
      <c r="J122" s="514" t="n"/>
      <c r="K122" s="454" t="n"/>
      <c r="L122" s="421" t="n"/>
      <c r="M122" s="421" t="n"/>
      <c r="N122" s="421" t="n"/>
      <c r="O122" s="421" t="n"/>
      <c r="P122" s="421" t="n"/>
      <c r="Q122" s="456" t="n"/>
      <c r="R122" s="421" t="n"/>
      <c r="S122" s="421" t="n"/>
      <c r="T122" s="421" t="n"/>
      <c r="U122" s="487" t="n"/>
      <c r="V122" s="421" t="n"/>
      <c r="W122" s="421" t="n"/>
      <c r="X122" s="421" t="n"/>
    </row>
    <row r="123">
      <c r="A123" s="421" t="n"/>
      <c r="B123" s="421" t="n"/>
      <c r="C123" s="453" t="n"/>
      <c r="D123" s="421" t="n"/>
      <c r="E123" s="421" t="n"/>
      <c r="F123" s="487" t="n"/>
      <c r="G123" s="421" t="n"/>
      <c r="H123" s="421" t="n"/>
      <c r="I123" s="421" t="n"/>
      <c r="J123" s="514" t="n"/>
      <c r="K123" s="454" t="n"/>
      <c r="L123" s="421" t="n"/>
      <c r="M123" s="421" t="n"/>
      <c r="N123" s="421" t="n"/>
      <c r="O123" s="421" t="n"/>
      <c r="P123" s="421" t="n"/>
      <c r="Q123" s="456" t="n"/>
      <c r="R123" s="421" t="n"/>
      <c r="S123" s="421" t="n"/>
      <c r="T123" s="421" t="n"/>
      <c r="U123" s="487" t="n"/>
      <c r="V123" s="421" t="n"/>
      <c r="W123" s="421" t="n"/>
      <c r="X123" s="421" t="n"/>
    </row>
    <row r="124">
      <c r="A124" s="421" t="n"/>
      <c r="B124" s="421" t="n"/>
      <c r="C124" s="453" t="n"/>
      <c r="D124" s="421" t="n"/>
      <c r="E124" s="421" t="n"/>
      <c r="F124" s="487" t="n"/>
      <c r="G124" s="421" t="n"/>
      <c r="H124" s="421" t="n"/>
      <c r="I124" s="421" t="n"/>
      <c r="J124" s="514" t="n"/>
      <c r="K124" s="454" t="n"/>
      <c r="L124" s="421" t="n"/>
      <c r="M124" s="421" t="n"/>
      <c r="N124" s="421" t="n"/>
      <c r="O124" s="421" t="n"/>
      <c r="P124" s="421" t="n"/>
      <c r="Q124" s="456" t="n"/>
      <c r="R124" s="421" t="n"/>
      <c r="S124" s="421" t="n"/>
      <c r="T124" s="421" t="n"/>
      <c r="U124" s="421" t="n"/>
      <c r="V124" s="421" t="n"/>
      <c r="W124" s="421" t="n"/>
      <c r="X124" s="421" t="n"/>
    </row>
    <row r="125">
      <c r="A125" s="421" t="n"/>
      <c r="B125" s="421" t="n"/>
      <c r="C125" s="453" t="n"/>
      <c r="D125" s="421" t="n"/>
      <c r="E125" s="421" t="n"/>
      <c r="F125" s="487" t="n"/>
      <c r="G125" s="421" t="n"/>
      <c r="H125" s="421" t="n"/>
      <c r="I125" s="421" t="n"/>
      <c r="J125" s="514" t="n"/>
      <c r="K125" s="454" t="n"/>
      <c r="L125" s="421" t="n"/>
      <c r="M125" s="421" t="n"/>
      <c r="N125" s="421" t="n"/>
      <c r="O125" s="421" t="n"/>
      <c r="P125" s="421" t="n"/>
      <c r="Q125" s="456" t="n"/>
      <c r="R125" s="421" t="n"/>
      <c r="S125" s="421" t="n"/>
      <c r="T125" s="421" t="n"/>
      <c r="U125" s="487" t="n"/>
      <c r="V125" s="421" t="n"/>
      <c r="W125" s="456" t="n"/>
      <c r="X125" s="456" t="n"/>
    </row>
    <row r="126">
      <c r="A126" s="421" t="n"/>
      <c r="B126" s="421" t="n"/>
      <c r="C126" s="453" t="n"/>
      <c r="D126" s="421" t="n"/>
      <c r="E126" s="421" t="n"/>
      <c r="F126" s="487" t="n"/>
      <c r="G126" s="421" t="n"/>
      <c r="H126" s="421" t="n"/>
      <c r="I126" s="421" t="n"/>
      <c r="J126" s="514" t="n"/>
      <c r="K126" s="454" t="n"/>
      <c r="L126" s="421" t="n"/>
      <c r="M126" s="421" t="n"/>
      <c r="N126" s="421" t="n"/>
      <c r="O126" s="421" t="n"/>
      <c r="P126" s="421" t="n"/>
      <c r="Q126" s="456" t="n"/>
      <c r="R126" s="421" t="n"/>
      <c r="S126" s="421" t="n"/>
      <c r="T126" s="421" t="n"/>
      <c r="U126" s="487" t="n"/>
      <c r="V126" s="421" t="n"/>
      <c r="W126" s="515" t="n"/>
      <c r="X126" s="515" t="n"/>
    </row>
    <row r="127">
      <c r="A127" s="421" t="n"/>
      <c r="B127" s="421" t="n"/>
      <c r="C127" s="453" t="n"/>
      <c r="D127" s="421" t="n"/>
      <c r="E127" s="421" t="n"/>
      <c r="F127" s="487" t="n"/>
      <c r="G127" s="421" t="n"/>
      <c r="H127" s="421" t="n"/>
      <c r="I127" s="421" t="n"/>
      <c r="J127" s="514" t="n"/>
      <c r="K127" s="454" t="n"/>
      <c r="L127" s="421" t="n"/>
      <c r="M127" s="421" t="n"/>
      <c r="N127" s="421" t="n"/>
      <c r="O127" s="421" t="n"/>
      <c r="P127" s="421" t="n"/>
      <c r="Q127" s="456" t="n"/>
      <c r="R127" s="421" t="n"/>
      <c r="S127" s="421" t="n"/>
      <c r="T127" s="421" t="n"/>
      <c r="U127" s="487" t="n"/>
      <c r="V127" s="421" t="n"/>
      <c r="W127" s="515" t="n"/>
      <c r="X127" s="515" t="n"/>
    </row>
    <row r="128">
      <c r="A128" s="421" t="n"/>
      <c r="B128" s="421" t="n"/>
      <c r="C128" s="453" t="n"/>
      <c r="D128" s="421" t="n"/>
      <c r="E128" s="421" t="n"/>
      <c r="F128" s="487" t="n"/>
      <c r="G128" s="421" t="n"/>
      <c r="H128" s="421" t="n"/>
      <c r="I128" s="421" t="n"/>
      <c r="J128" s="514" t="n"/>
      <c r="K128" s="454" t="n"/>
      <c r="L128" s="421" t="n"/>
      <c r="M128" s="421" t="n"/>
      <c r="N128" s="421" t="n"/>
      <c r="O128" s="421" t="n"/>
      <c r="P128" s="421" t="n"/>
      <c r="Q128" s="456" t="n"/>
      <c r="R128" s="421" t="n"/>
      <c r="S128" s="421" t="n"/>
      <c r="T128" s="421" t="n"/>
      <c r="U128" s="487" t="n"/>
      <c r="V128" s="421" t="n"/>
      <c r="W128" s="456" t="n"/>
      <c r="X128" s="456" t="n"/>
    </row>
    <row r="129">
      <c r="A129" s="421" t="n"/>
      <c r="B129" s="421" t="n"/>
      <c r="C129" s="453" t="n"/>
      <c r="D129" s="421" t="n"/>
      <c r="E129" s="421" t="n"/>
      <c r="F129" s="487" t="n"/>
      <c r="G129" s="421" t="n"/>
      <c r="H129" s="421" t="n"/>
      <c r="I129" s="421" t="n"/>
      <c r="J129" s="514" t="n"/>
      <c r="K129" s="454" t="n"/>
      <c r="L129" s="421" t="n"/>
      <c r="M129" s="421" t="n"/>
      <c r="N129" s="421" t="n"/>
      <c r="O129" s="421" t="n"/>
      <c r="P129" s="421" t="n"/>
      <c r="Q129" s="456" t="n"/>
      <c r="R129" s="421" t="n"/>
      <c r="S129" s="421" t="n"/>
      <c r="T129" s="421" t="n"/>
      <c r="U129" s="487" t="n"/>
      <c r="V129" s="421" t="n"/>
      <c r="W129" s="515" t="n"/>
      <c r="X129" s="515" t="n"/>
    </row>
    <row r="130">
      <c r="A130" s="421" t="n"/>
      <c r="B130" s="421" t="n"/>
      <c r="C130" s="453" t="n"/>
      <c r="D130" s="421" t="n"/>
      <c r="E130" s="421" t="n"/>
      <c r="F130" s="487" t="n"/>
      <c r="G130" s="421" t="n"/>
      <c r="H130" s="421" t="n"/>
      <c r="I130" s="421" t="n"/>
      <c r="J130" s="514" t="n"/>
      <c r="K130" s="454" t="n"/>
      <c r="L130" s="421" t="n"/>
      <c r="M130" s="421" t="n"/>
      <c r="N130" s="421" t="n"/>
      <c r="O130" s="421" t="n"/>
      <c r="P130" s="421" t="n"/>
      <c r="Q130" s="456" t="n"/>
      <c r="R130" s="421" t="n"/>
      <c r="S130" s="421" t="n"/>
      <c r="T130" s="421" t="n"/>
      <c r="U130" s="487" t="n"/>
      <c r="V130" s="421" t="n"/>
      <c r="W130" s="515" t="n"/>
      <c r="X130" s="515" t="n"/>
    </row>
    <row r="131">
      <c r="A131" s="421" t="n"/>
      <c r="B131" s="421" t="n"/>
      <c r="C131" s="453" t="n"/>
      <c r="D131" s="421" t="n"/>
      <c r="E131" s="421" t="n"/>
      <c r="F131" s="487" t="n"/>
      <c r="G131" s="421" t="n"/>
      <c r="H131" s="421" t="n"/>
      <c r="I131" s="421" t="n"/>
      <c r="J131" s="514" t="n"/>
      <c r="K131" s="454" t="n"/>
      <c r="L131" s="421" t="n"/>
      <c r="M131" s="421" t="n"/>
      <c r="N131" s="421" t="n"/>
      <c r="O131" s="421" t="n"/>
      <c r="P131" s="421" t="n"/>
      <c r="Q131" s="456" t="n"/>
      <c r="R131" s="421" t="n"/>
      <c r="S131" s="421" t="n"/>
      <c r="T131" s="421" t="n"/>
      <c r="U131" s="487" t="n"/>
      <c r="V131" s="421" t="n"/>
      <c r="W131" s="456" t="n"/>
      <c r="X131" s="456" t="n"/>
    </row>
    <row r="132">
      <c r="A132" s="421" t="n"/>
      <c r="B132" s="421" t="n"/>
      <c r="C132" s="453" t="n"/>
      <c r="D132" s="421" t="n"/>
      <c r="E132" s="421" t="n"/>
      <c r="F132" s="487" t="n"/>
      <c r="G132" s="421" t="n"/>
      <c r="H132" s="421" t="n"/>
      <c r="I132" s="421" t="n"/>
      <c r="J132" s="514" t="n"/>
      <c r="K132" s="454" t="n"/>
      <c r="L132" s="421" t="n"/>
      <c r="M132" s="421" t="n"/>
      <c r="N132" s="421" t="n"/>
      <c r="O132" s="421" t="n"/>
      <c r="P132" s="421" t="n"/>
      <c r="Q132" s="456" t="n"/>
      <c r="R132" s="421" t="n"/>
      <c r="S132" s="421" t="n"/>
      <c r="T132" s="421" t="n"/>
      <c r="U132" s="487" t="n"/>
      <c r="V132" s="421" t="n"/>
      <c r="W132" s="421" t="n"/>
      <c r="X132" s="421" t="n"/>
    </row>
    <row r="133">
      <c r="A133" s="421" t="n"/>
      <c r="B133" s="421" t="n"/>
      <c r="C133" s="453" t="n"/>
      <c r="D133" s="421" t="n"/>
      <c r="E133" s="421" t="n"/>
      <c r="F133" s="487" t="n"/>
      <c r="G133" s="421" t="n"/>
      <c r="H133" s="421" t="n"/>
      <c r="I133" s="421" t="n"/>
      <c r="J133" s="514" t="n"/>
      <c r="K133" s="454" t="n"/>
      <c r="L133" s="421" t="n"/>
      <c r="M133" s="421" t="n"/>
      <c r="N133" s="421" t="n"/>
      <c r="O133" s="421" t="n"/>
      <c r="P133" s="421" t="n"/>
      <c r="Q133" s="456" t="n"/>
      <c r="R133" s="421" t="n"/>
      <c r="S133" s="421" t="n"/>
      <c r="T133" s="421" t="n"/>
      <c r="U133" s="487" t="n"/>
      <c r="V133" s="421" t="n"/>
      <c r="W133" s="515" t="n"/>
      <c r="X133" s="515" t="n"/>
    </row>
    <row r="134">
      <c r="A134" s="421" t="n"/>
      <c r="B134" s="421" t="n"/>
      <c r="C134" s="453" t="n"/>
      <c r="D134" s="421" t="n"/>
      <c r="E134" s="421" t="n"/>
      <c r="F134" s="487" t="n"/>
      <c r="G134" s="421" t="n"/>
      <c r="H134" s="421" t="n"/>
      <c r="I134" s="421" t="n"/>
      <c r="J134" s="514" t="n"/>
      <c r="K134" s="454" t="n"/>
      <c r="L134" s="421" t="n"/>
      <c r="M134" s="421" t="n"/>
      <c r="N134" s="456" t="n"/>
      <c r="O134" s="421" t="n"/>
      <c r="P134" s="421" t="n"/>
      <c r="Q134" s="456" t="n"/>
      <c r="R134" s="421" t="n"/>
      <c r="S134" s="421" t="n"/>
      <c r="T134" s="421" t="n"/>
      <c r="U134" s="487" t="n"/>
      <c r="V134" s="421" t="n"/>
      <c r="W134" s="456" t="n"/>
      <c r="X134" s="456" t="n"/>
    </row>
    <row r="135">
      <c r="A135" s="421" t="n"/>
      <c r="B135" s="421" t="n"/>
      <c r="C135" s="453" t="n"/>
      <c r="D135" s="421" t="n"/>
      <c r="E135" s="421" t="n"/>
      <c r="F135" s="487" t="n"/>
      <c r="G135" s="421" t="n"/>
      <c r="H135" s="421" t="n"/>
      <c r="I135" s="421" t="n"/>
      <c r="J135" s="514" t="n"/>
      <c r="K135" s="454" t="n"/>
      <c r="L135" s="421" t="n"/>
      <c r="M135" s="421" t="n"/>
      <c r="N135" s="421" t="n"/>
      <c r="O135" s="421" t="n"/>
      <c r="P135" s="421" t="n"/>
      <c r="Q135" s="456" t="n"/>
      <c r="R135" s="421" t="n"/>
      <c r="S135" s="421" t="n"/>
      <c r="T135" s="421" t="n"/>
      <c r="U135" s="487" t="n"/>
      <c r="V135" s="421" t="n"/>
      <c r="W135" s="421" t="n"/>
      <c r="X135" s="421" t="n"/>
    </row>
    <row r="136">
      <c r="A136" s="421" t="n"/>
      <c r="B136" s="421" t="n"/>
      <c r="C136" s="453" t="n"/>
      <c r="D136" s="421" t="n"/>
      <c r="E136" s="421" t="n"/>
      <c r="F136" s="487" t="n"/>
      <c r="G136" s="421" t="n"/>
      <c r="H136" s="421" t="n"/>
      <c r="I136" s="421" t="n"/>
      <c r="J136" s="514" t="n"/>
      <c r="K136" s="454" t="n"/>
      <c r="L136" s="421" t="n"/>
      <c r="M136" s="421" t="n"/>
      <c r="N136" s="421" t="n"/>
      <c r="O136" s="421" t="n"/>
      <c r="P136" s="421" t="n"/>
      <c r="Q136" s="456" t="n"/>
      <c r="R136" s="421" t="n"/>
      <c r="S136" s="421" t="n"/>
      <c r="T136" s="421" t="n"/>
      <c r="U136" s="487" t="n"/>
      <c r="V136" s="421" t="n"/>
      <c r="W136" s="421" t="n"/>
      <c r="X136" s="421" t="n"/>
    </row>
    <row r="137">
      <c r="A137" s="421" t="n"/>
      <c r="B137" s="421" t="n"/>
      <c r="C137" s="453" t="n"/>
      <c r="D137" s="421" t="n"/>
      <c r="E137" s="421" t="n"/>
      <c r="F137" s="487" t="n"/>
      <c r="G137" s="421" t="n"/>
      <c r="H137" s="421" t="n"/>
      <c r="I137" s="421" t="n"/>
      <c r="J137" s="514" t="n"/>
      <c r="K137" s="454" t="n"/>
      <c r="L137" s="421" t="n"/>
      <c r="M137" s="421" t="n"/>
      <c r="N137" s="421" t="n"/>
      <c r="O137" s="421" t="n"/>
      <c r="P137" s="421" t="n"/>
      <c r="Q137" s="456" t="n"/>
      <c r="R137" s="421" t="n"/>
      <c r="S137" s="421" t="n"/>
      <c r="T137" s="421" t="n"/>
      <c r="U137" s="487" t="n"/>
      <c r="V137" s="421" t="n"/>
      <c r="W137" s="421" t="n"/>
      <c r="X137" s="421" t="n"/>
    </row>
    <row r="138">
      <c r="A138" s="421" t="n"/>
      <c r="B138" s="421" t="n"/>
      <c r="C138" s="453" t="n"/>
      <c r="D138" s="421" t="n"/>
      <c r="E138" s="421" t="n"/>
      <c r="F138" s="487" t="n"/>
      <c r="G138" s="421" t="n"/>
      <c r="H138" s="421" t="n"/>
      <c r="I138" s="421" t="n"/>
      <c r="J138" s="514" t="n"/>
      <c r="K138" s="454" t="n"/>
      <c r="L138" s="421" t="n"/>
      <c r="M138" s="421" t="n"/>
      <c r="N138" s="421" t="n"/>
      <c r="O138" s="421" t="n"/>
      <c r="P138" s="421" t="n"/>
      <c r="Q138" s="456" t="n"/>
      <c r="R138" s="421" t="n"/>
      <c r="S138" s="421" t="n"/>
      <c r="T138" s="421" t="n"/>
      <c r="U138" s="487" t="n"/>
      <c r="V138" s="421" t="n"/>
      <c r="W138" s="421" t="n"/>
      <c r="X138" s="421" t="n"/>
    </row>
    <row r="139">
      <c r="A139" s="421" t="n"/>
      <c r="B139" s="421" t="n"/>
      <c r="C139" s="453" t="n"/>
      <c r="D139" s="421" t="n"/>
      <c r="E139" s="421" t="n"/>
      <c r="F139" s="487" t="n"/>
      <c r="G139" s="421" t="n"/>
      <c r="H139" s="421" t="n"/>
      <c r="I139" s="421" t="n"/>
      <c r="J139" s="514" t="n"/>
      <c r="K139" s="454" t="n"/>
      <c r="L139" s="421" t="n"/>
      <c r="M139" s="421" t="n"/>
      <c r="N139" s="421" t="n"/>
      <c r="O139" s="421" t="n"/>
      <c r="P139" s="421" t="n"/>
      <c r="Q139" s="515" t="n"/>
      <c r="R139" s="421" t="n"/>
      <c r="S139" s="421" t="n"/>
      <c r="T139" s="421" t="n"/>
      <c r="U139" s="421" t="n"/>
      <c r="V139" s="421" t="n"/>
      <c r="W139" s="421" t="n"/>
      <c r="X139" s="421" t="n"/>
    </row>
    <row r="140">
      <c r="A140" s="421" t="n"/>
      <c r="B140" s="421" t="n"/>
      <c r="C140" s="453" t="n"/>
      <c r="D140" s="421" t="n"/>
      <c r="E140" s="421" t="n"/>
      <c r="F140" s="487" t="n"/>
      <c r="G140" s="421" t="n"/>
      <c r="H140" s="421" t="n"/>
      <c r="I140" s="421" t="n"/>
      <c r="J140" s="514" t="n"/>
      <c r="K140" s="454" t="n"/>
      <c r="L140" s="421" t="n"/>
      <c r="M140" s="421" t="n"/>
      <c r="N140" s="421" t="n"/>
      <c r="O140" s="421" t="n"/>
      <c r="P140" s="421" t="n"/>
      <c r="Q140" s="515" t="n"/>
      <c r="R140" s="421" t="n"/>
      <c r="S140" s="421" t="n"/>
      <c r="T140" s="421" t="n"/>
      <c r="U140" s="421" t="n"/>
      <c r="V140" s="421" t="n"/>
      <c r="W140" s="421" t="n"/>
      <c r="X140" s="421" t="n"/>
    </row>
    <row r="141">
      <c r="A141" s="421" t="n"/>
      <c r="B141" s="421" t="n"/>
      <c r="C141" s="453" t="n"/>
      <c r="D141" s="421" t="n"/>
      <c r="E141" s="421" t="n"/>
      <c r="F141" s="487" t="n"/>
      <c r="G141" s="421" t="n"/>
      <c r="H141" s="421" t="n"/>
      <c r="I141" s="421" t="n"/>
      <c r="J141" s="514" t="n"/>
      <c r="K141" s="454" t="n"/>
      <c r="L141" s="421" t="n"/>
      <c r="M141" s="421" t="n"/>
      <c r="N141" s="421" t="n"/>
      <c r="O141" s="421" t="n"/>
      <c r="P141" s="421" t="n"/>
      <c r="Q141" s="456" t="n"/>
      <c r="R141" s="421" t="n"/>
      <c r="S141" s="421" t="n"/>
      <c r="T141" s="421" t="n"/>
      <c r="U141" s="487" t="n"/>
      <c r="V141" s="421" t="n"/>
      <c r="W141" s="421" t="n"/>
      <c r="X141" s="421" t="n"/>
    </row>
    <row r="142">
      <c r="A142" s="421" t="n"/>
      <c r="B142" s="421" t="n"/>
      <c r="C142" s="453" t="n"/>
      <c r="D142" s="421" t="n"/>
      <c r="E142" s="421" t="n"/>
      <c r="F142" s="487" t="n"/>
      <c r="G142" s="421" t="n"/>
      <c r="H142" s="421" t="n"/>
      <c r="I142" s="421" t="n"/>
      <c r="J142" s="514" t="n"/>
      <c r="K142" s="454" t="n"/>
      <c r="L142" s="421" t="n"/>
      <c r="M142" s="421" t="n"/>
      <c r="N142" s="421" t="n"/>
      <c r="O142" s="421" t="n"/>
      <c r="P142" s="421" t="n"/>
      <c r="Q142" s="456" t="n"/>
      <c r="R142" s="421" t="n"/>
      <c r="S142" s="421" t="n"/>
      <c r="T142" s="421" t="n"/>
      <c r="U142" s="487" t="n"/>
      <c r="V142" s="421" t="n"/>
      <c r="W142" s="421" t="n"/>
      <c r="X142" s="421" t="n"/>
    </row>
    <row r="143">
      <c r="A143" s="421" t="n"/>
      <c r="B143" s="421" t="n"/>
      <c r="C143" s="453" t="n"/>
      <c r="D143" s="421" t="n"/>
      <c r="E143" s="421" t="n"/>
      <c r="F143" s="487" t="n"/>
      <c r="G143" s="421" t="n"/>
      <c r="H143" s="421" t="n"/>
      <c r="I143" s="421" t="n"/>
      <c r="J143" s="514" t="n"/>
      <c r="K143" s="454" t="n"/>
      <c r="L143" s="421" t="n"/>
      <c r="M143" s="421" t="n"/>
      <c r="N143" s="421" t="n"/>
      <c r="O143" s="421" t="n"/>
      <c r="P143" s="421" t="n"/>
      <c r="Q143" s="456" t="n"/>
      <c r="R143" s="421" t="n"/>
      <c r="S143" s="421" t="n"/>
      <c r="T143" s="421" t="n"/>
      <c r="U143" s="421" t="n"/>
      <c r="V143" s="421" t="n"/>
      <c r="W143" s="421" t="n"/>
      <c r="X143" s="421" t="n"/>
    </row>
    <row r="144">
      <c r="A144" s="421" t="n"/>
      <c r="B144" s="421" t="n"/>
      <c r="C144" s="453" t="n"/>
      <c r="D144" s="421" t="n"/>
      <c r="E144" s="421" t="n"/>
      <c r="F144" s="421" t="n"/>
      <c r="G144" s="421" t="n"/>
      <c r="H144" s="421" t="n"/>
      <c r="I144" s="421" t="n"/>
      <c r="J144" s="514" t="n"/>
      <c r="K144" s="454" t="n"/>
      <c r="L144" s="421" t="n"/>
      <c r="M144" s="421" t="n"/>
      <c r="N144" s="421" t="n"/>
      <c r="O144" s="421" t="n"/>
      <c r="P144" s="421" t="n"/>
      <c r="Q144" s="456" t="n"/>
      <c r="R144" s="421" t="n"/>
      <c r="S144" s="421" t="n"/>
      <c r="T144" s="421" t="n"/>
      <c r="U144" s="421" t="n"/>
      <c r="V144" s="421" t="n"/>
      <c r="W144" s="421" t="n"/>
      <c r="X144" s="421" t="n"/>
    </row>
    <row r="145">
      <c r="A145" s="421" t="n"/>
      <c r="B145" s="421" t="n"/>
      <c r="C145" s="453" t="n"/>
      <c r="D145" s="421" t="n"/>
      <c r="E145" s="421" t="n"/>
      <c r="F145" s="421" t="n"/>
      <c r="G145" s="421" t="n"/>
      <c r="H145" s="421" t="n"/>
      <c r="I145" s="421" t="n"/>
      <c r="J145" s="514" t="n"/>
      <c r="K145" s="454" t="n"/>
      <c r="L145" s="421" t="n"/>
      <c r="M145" s="421" t="n"/>
      <c r="N145" s="421" t="n"/>
      <c r="O145" s="421" t="n"/>
      <c r="P145" s="421" t="n"/>
      <c r="Q145" s="456" t="n"/>
      <c r="R145" s="421" t="n"/>
      <c r="S145" s="421" t="n"/>
      <c r="T145" s="421" t="n"/>
      <c r="U145" s="421" t="n"/>
      <c r="V145" s="421" t="n"/>
      <c r="W145" s="421" t="n"/>
      <c r="X145" s="421" t="n"/>
    </row>
    <row r="146">
      <c r="A146" s="421" t="n"/>
      <c r="B146" s="421" t="n"/>
      <c r="C146" s="453" t="n"/>
      <c r="D146" s="421" t="n"/>
      <c r="E146" s="421" t="n"/>
      <c r="F146" s="421" t="n"/>
      <c r="G146" s="421" t="n"/>
      <c r="H146" s="421" t="n"/>
      <c r="I146" s="421" t="n"/>
      <c r="J146" s="514" t="n"/>
      <c r="K146" s="454" t="n"/>
      <c r="L146" s="421" t="n"/>
      <c r="M146" s="421" t="n"/>
      <c r="N146" s="421" t="n"/>
      <c r="O146" s="421" t="n"/>
      <c r="P146" s="421" t="n"/>
      <c r="Q146" s="456" t="n"/>
      <c r="R146" s="421" t="n"/>
      <c r="S146" s="421" t="n"/>
      <c r="T146" s="421" t="n"/>
      <c r="U146" s="487" t="n"/>
      <c r="V146" s="421" t="n"/>
      <c r="W146" s="421" t="n"/>
      <c r="X146" s="421" t="n"/>
    </row>
    <row r="147">
      <c r="A147" s="421" t="n"/>
      <c r="B147" s="421" t="n"/>
      <c r="C147" s="453" t="n"/>
      <c r="D147" s="421" t="n"/>
      <c r="E147" s="421" t="n"/>
      <c r="F147" s="421" t="n"/>
      <c r="G147" s="421" t="n"/>
      <c r="H147" s="421" t="n"/>
      <c r="I147" s="421" t="n"/>
      <c r="J147" s="514" t="n"/>
      <c r="K147" s="454" t="n"/>
      <c r="L147" s="421" t="n"/>
      <c r="M147" s="421" t="n"/>
      <c r="N147" s="421" t="n"/>
      <c r="O147" s="421" t="n"/>
      <c r="P147" s="421" t="n"/>
      <c r="Q147" s="456" t="n"/>
      <c r="R147" s="421" t="n"/>
      <c r="S147" s="421" t="n"/>
      <c r="T147" s="421" t="n"/>
      <c r="U147" s="487" t="n"/>
      <c r="V147" s="421" t="n"/>
      <c r="W147" s="515" t="n"/>
      <c r="X147" s="515" t="n"/>
    </row>
    <row r="148">
      <c r="A148" s="421" t="n"/>
      <c r="B148" s="421" t="n"/>
      <c r="C148" s="453" t="n"/>
      <c r="D148" s="421" t="n"/>
      <c r="E148" s="421" t="n"/>
      <c r="F148" s="421" t="n"/>
      <c r="G148" s="421" t="n"/>
      <c r="H148" s="421" t="n"/>
      <c r="I148" s="421" t="n"/>
      <c r="J148" s="514" t="n"/>
      <c r="K148" s="454" t="n"/>
      <c r="L148" s="421" t="n"/>
      <c r="M148" s="421" t="n"/>
      <c r="N148" s="421" t="n"/>
      <c r="O148" s="421" t="n"/>
      <c r="P148" s="421" t="n"/>
      <c r="Q148" s="456" t="n"/>
      <c r="R148" s="421" t="n"/>
      <c r="S148" s="421" t="n"/>
      <c r="T148" s="421" t="n"/>
      <c r="U148" s="487" t="n"/>
      <c r="V148" s="421" t="n"/>
      <c r="W148" s="515" t="n"/>
      <c r="X148" s="515" t="n"/>
    </row>
    <row r="149">
      <c r="A149" s="421" t="n"/>
      <c r="B149" s="421" t="n"/>
      <c r="C149" s="453" t="n"/>
      <c r="D149" s="421" t="n"/>
      <c r="E149" s="421" t="n"/>
      <c r="F149" s="421" t="n"/>
      <c r="G149" s="421" t="n"/>
      <c r="H149" s="421" t="n"/>
      <c r="I149" s="421" t="n"/>
      <c r="J149" s="514" t="n"/>
      <c r="K149" s="454" t="n"/>
      <c r="L149" s="421" t="n"/>
      <c r="M149" s="421" t="n"/>
      <c r="N149" s="421" t="n"/>
      <c r="O149" s="421" t="n"/>
      <c r="P149" s="421" t="n"/>
      <c r="Q149" s="456" t="n"/>
      <c r="R149" s="421" t="n"/>
      <c r="S149" s="421" t="n"/>
      <c r="T149" s="421" t="n"/>
      <c r="U149" s="487" t="n"/>
      <c r="V149" s="421" t="n"/>
      <c r="W149" s="456" t="n"/>
      <c r="X149" s="456" t="n"/>
    </row>
    <row r="150">
      <c r="A150" s="421" t="n"/>
      <c r="B150" s="421" t="n"/>
      <c r="C150" s="453" t="n"/>
      <c r="D150" s="421" t="n"/>
      <c r="E150" s="421" t="n"/>
      <c r="F150" s="421" t="n"/>
      <c r="G150" s="421" t="n"/>
      <c r="H150" s="421" t="n"/>
      <c r="I150" s="421" t="n"/>
      <c r="J150" s="514" t="n"/>
      <c r="K150" s="454" t="n"/>
      <c r="L150" s="421" t="n"/>
      <c r="M150" s="421" t="n"/>
      <c r="N150" s="421" t="n"/>
      <c r="O150" s="421" t="n"/>
      <c r="P150" s="421" t="n"/>
      <c r="Q150" s="456" t="n"/>
      <c r="R150" s="421" t="n"/>
      <c r="S150" s="421" t="n"/>
      <c r="T150" s="421" t="n"/>
      <c r="U150" s="487" t="n"/>
      <c r="V150" s="421" t="n"/>
      <c r="W150" s="515" t="n"/>
      <c r="X150" s="515" t="n"/>
    </row>
    <row r="151">
      <c r="A151" s="421" t="n"/>
      <c r="B151" s="421" t="n"/>
      <c r="C151" s="453" t="n"/>
      <c r="D151" s="421" t="n"/>
      <c r="E151" s="421" t="n"/>
      <c r="F151" s="421" t="n"/>
      <c r="G151" s="421" t="n"/>
      <c r="H151" s="421" t="n"/>
      <c r="I151" s="421" t="n"/>
      <c r="J151" s="514" t="n"/>
      <c r="K151" s="454" t="n"/>
      <c r="L151" s="421" t="n"/>
      <c r="M151" s="421" t="n"/>
      <c r="N151" s="421" t="n"/>
      <c r="O151" s="421" t="n"/>
      <c r="P151" s="421" t="n"/>
      <c r="Q151" s="456" t="n"/>
      <c r="R151" s="421" t="n"/>
      <c r="S151" s="421" t="n"/>
      <c r="T151" s="421" t="n"/>
      <c r="U151" s="487" t="n"/>
      <c r="V151" s="421" t="n"/>
      <c r="W151" s="515" t="n"/>
      <c r="X151" s="515" t="n"/>
    </row>
    <row r="152">
      <c r="A152" s="421" t="n"/>
      <c r="B152" s="421" t="n"/>
      <c r="C152" s="453" t="n"/>
      <c r="D152" s="421" t="n"/>
      <c r="E152" s="421" t="n"/>
      <c r="F152" s="421" t="n"/>
      <c r="G152" s="421" t="n"/>
      <c r="H152" s="421" t="n"/>
      <c r="I152" s="421" t="n"/>
      <c r="J152" s="514" t="n"/>
      <c r="K152" s="454" t="n"/>
      <c r="L152" s="421" t="n"/>
      <c r="M152" s="421" t="n"/>
      <c r="N152" s="421" t="n"/>
      <c r="O152" s="421" t="n"/>
      <c r="P152" s="421" t="n"/>
      <c r="Q152" s="456" t="n"/>
      <c r="R152" s="421" t="n"/>
      <c r="S152" s="421" t="n"/>
      <c r="T152" s="421" t="n"/>
      <c r="U152" s="487" t="n"/>
      <c r="V152" s="421" t="n"/>
      <c r="W152" s="456" t="n"/>
      <c r="X152" s="456" t="n"/>
    </row>
    <row r="153">
      <c r="A153" s="421" t="n"/>
      <c r="B153" s="421" t="n"/>
      <c r="C153" s="453" t="n"/>
      <c r="D153" s="421" t="n"/>
      <c r="E153" s="421" t="n"/>
      <c r="F153" s="421" t="n"/>
      <c r="G153" s="421" t="n"/>
      <c r="H153" s="421" t="n"/>
      <c r="I153" s="421" t="n"/>
      <c r="J153" s="421" t="n"/>
      <c r="K153" s="454" t="n"/>
      <c r="L153" s="421" t="n"/>
      <c r="M153" s="421" t="n"/>
      <c r="N153" s="421" t="n"/>
      <c r="O153" s="421" t="n"/>
      <c r="P153" s="421" t="n"/>
      <c r="Q153" s="456" t="n"/>
      <c r="R153" s="421" t="n"/>
      <c r="S153" s="421" t="n"/>
      <c r="T153" s="421" t="n"/>
      <c r="U153" s="487" t="n"/>
      <c r="V153" s="421" t="n"/>
      <c r="W153" s="421" t="n"/>
      <c r="X153" s="421" t="n"/>
    </row>
    <row r="154">
      <c r="A154" s="421" t="n"/>
      <c r="B154" s="421" t="n"/>
      <c r="C154" s="453" t="n"/>
      <c r="D154" s="421" t="n"/>
      <c r="E154" s="421" t="n"/>
      <c r="F154" s="421" t="n"/>
      <c r="G154" s="421" t="n"/>
      <c r="H154" s="421" t="n"/>
      <c r="I154" s="421" t="n"/>
      <c r="J154" s="421" t="n"/>
      <c r="K154" s="454" t="n"/>
      <c r="L154" s="421" t="n"/>
      <c r="M154" s="421" t="n"/>
      <c r="N154" s="421" t="n"/>
      <c r="O154" s="421" t="n"/>
      <c r="P154" s="421" t="n"/>
      <c r="Q154" s="456" t="n"/>
      <c r="R154" s="421" t="n"/>
      <c r="S154" s="421" t="n"/>
      <c r="T154" s="421" t="n"/>
      <c r="U154" s="487" t="n"/>
      <c r="V154" s="421" t="n"/>
      <c r="W154" s="456" t="n"/>
      <c r="X154" s="456" t="n"/>
    </row>
    <row r="155">
      <c r="A155" s="421" t="n"/>
      <c r="B155" s="421" t="n"/>
      <c r="C155" s="453" t="n"/>
      <c r="D155" s="421" t="n"/>
      <c r="E155" s="421" t="n"/>
      <c r="F155" s="421" t="n"/>
      <c r="G155" s="421" t="n"/>
      <c r="H155" s="421" t="n"/>
      <c r="I155" s="421" t="n"/>
      <c r="J155" s="421" t="n"/>
      <c r="K155" s="454" t="n"/>
      <c r="L155" s="421" t="n"/>
      <c r="M155" s="421" t="n"/>
      <c r="N155" s="421" t="n"/>
      <c r="O155" s="421" t="n"/>
      <c r="P155" s="421" t="n"/>
      <c r="Q155" s="456" t="n"/>
      <c r="R155" s="421" t="n"/>
      <c r="S155" s="421" t="n"/>
      <c r="T155" s="421" t="n"/>
      <c r="U155" s="487" t="n"/>
      <c r="V155" s="421" t="n"/>
      <c r="W155" s="421" t="n"/>
      <c r="X155" s="421" t="n"/>
    </row>
    <row r="156">
      <c r="A156" s="421" t="n"/>
      <c r="B156" s="421" t="n"/>
      <c r="C156" s="453" t="n"/>
      <c r="D156" s="421" t="n"/>
      <c r="E156" s="421" t="n"/>
      <c r="F156" s="421" t="n"/>
      <c r="G156" s="421" t="n"/>
      <c r="H156" s="421" t="n"/>
      <c r="I156" s="421" t="n"/>
      <c r="J156" s="421" t="n"/>
      <c r="K156" s="454" t="n"/>
      <c r="L156" s="421" t="n"/>
      <c r="M156" s="421" t="n"/>
      <c r="N156" s="421" t="n"/>
      <c r="O156" s="421" t="n"/>
      <c r="P156" s="421" t="n"/>
      <c r="Q156" s="456" t="n"/>
      <c r="R156" s="421" t="n"/>
      <c r="S156" s="421" t="n"/>
      <c r="T156" s="421" t="n"/>
      <c r="U156" s="487" t="n"/>
      <c r="V156" s="421" t="n"/>
      <c r="W156" s="421" t="n"/>
      <c r="X156" s="421" t="n"/>
    </row>
    <row r="157">
      <c r="A157" s="421" t="n"/>
      <c r="B157" s="421" t="n"/>
      <c r="C157" s="453" t="n"/>
      <c r="D157" s="421" t="n"/>
      <c r="E157" s="421" t="n"/>
      <c r="F157" s="421" t="n"/>
      <c r="G157" s="421" t="n"/>
      <c r="H157" s="421" t="n"/>
      <c r="I157" s="421" t="n"/>
      <c r="J157" s="421" t="n"/>
      <c r="K157" s="454" t="n"/>
      <c r="L157" s="421" t="n"/>
      <c r="M157" s="421" t="n"/>
      <c r="N157" s="421" t="n"/>
      <c r="O157" s="421" t="n"/>
      <c r="P157" s="421" t="n"/>
      <c r="Q157" s="456" t="n"/>
      <c r="R157" s="421" t="n"/>
      <c r="S157" s="421" t="n"/>
      <c r="T157" s="421" t="n"/>
      <c r="U157" s="487" t="n"/>
      <c r="V157" s="421" t="n"/>
      <c r="W157" s="421" t="n"/>
      <c r="X157" s="421" t="n"/>
    </row>
    <row r="158">
      <c r="A158" s="421" t="n"/>
      <c r="B158" s="421" t="n"/>
      <c r="C158" s="453" t="n"/>
      <c r="D158" s="421" t="n"/>
      <c r="E158" s="421" t="n"/>
      <c r="F158" s="487" t="n"/>
      <c r="G158" s="421" t="n"/>
      <c r="H158" s="421" t="n"/>
      <c r="I158" s="421" t="n"/>
      <c r="J158" s="514" t="n"/>
      <c r="K158" s="454" t="n"/>
      <c r="L158" s="421" t="n"/>
      <c r="M158" s="421" t="n"/>
      <c r="N158" s="421" t="n"/>
      <c r="O158" s="421" t="n"/>
      <c r="P158" s="421" t="n"/>
      <c r="Q158" s="515" t="n"/>
      <c r="R158" s="421" t="n"/>
      <c r="S158" s="421" t="n"/>
      <c r="T158" s="421" t="n"/>
      <c r="U158" s="487" t="n"/>
      <c r="V158" s="421" t="n"/>
      <c r="W158" s="421" t="n"/>
      <c r="X158" s="421" t="n"/>
    </row>
    <row r="159">
      <c r="A159" s="421" t="n"/>
      <c r="B159" s="421" t="n"/>
      <c r="C159" s="453" t="n"/>
      <c r="D159" s="421" t="n"/>
      <c r="E159" s="421" t="n"/>
      <c r="F159" s="487" t="n"/>
      <c r="G159" s="421" t="n"/>
      <c r="H159" s="421" t="n"/>
      <c r="I159" s="421" t="n"/>
      <c r="J159" s="514" t="n"/>
      <c r="K159" s="454" t="n"/>
      <c r="L159" s="421" t="n"/>
      <c r="M159" s="421" t="n"/>
      <c r="N159" s="421" t="n"/>
      <c r="O159" s="421" t="n"/>
      <c r="P159" s="421" t="n"/>
      <c r="Q159" s="515" t="n"/>
      <c r="R159" s="421" t="n"/>
      <c r="S159" s="421" t="n"/>
      <c r="T159" s="421" t="n"/>
      <c r="U159" s="421" t="n"/>
      <c r="V159" s="421" t="n"/>
      <c r="W159" s="421" t="n"/>
      <c r="X159" s="421" t="n"/>
    </row>
    <row r="160">
      <c r="A160" s="421" t="n"/>
      <c r="B160" s="421" t="n"/>
      <c r="C160" s="453" t="n"/>
      <c r="D160" s="421" t="n"/>
      <c r="E160" s="421" t="n"/>
      <c r="F160" s="487" t="n"/>
      <c r="G160" s="421" t="n"/>
      <c r="H160" s="421" t="n"/>
      <c r="I160" s="421" t="n"/>
      <c r="J160" s="514" t="n"/>
      <c r="K160" s="454" t="n"/>
      <c r="L160" s="421" t="n"/>
      <c r="M160" s="421" t="n"/>
      <c r="N160" s="421" t="n"/>
      <c r="O160" s="421" t="n"/>
      <c r="P160" s="421" t="n"/>
      <c r="Q160" s="456" t="n"/>
      <c r="R160" s="421" t="n"/>
      <c r="S160" s="421" t="n"/>
      <c r="T160" s="421" t="n"/>
      <c r="U160" s="487" t="n"/>
      <c r="V160" s="421" t="n"/>
      <c r="W160" s="421" t="n"/>
      <c r="X160" s="421" t="n"/>
    </row>
    <row r="161">
      <c r="A161" s="421" t="n"/>
      <c r="B161" s="421" t="n"/>
      <c r="C161" s="453" t="n"/>
      <c r="D161" s="421" t="n"/>
      <c r="E161" s="421" t="n"/>
      <c r="F161" s="487" t="n"/>
      <c r="G161" s="421" t="n"/>
      <c r="H161" s="421" t="n"/>
      <c r="I161" s="421" t="n"/>
      <c r="J161" s="514" t="n"/>
      <c r="K161" s="454" t="n"/>
      <c r="L161" s="421" t="n"/>
      <c r="M161" s="421" t="n"/>
      <c r="N161" s="421" t="n"/>
      <c r="O161" s="421" t="n"/>
      <c r="P161" s="421" t="n"/>
      <c r="Q161" s="456" t="n"/>
      <c r="R161" s="421" t="n"/>
      <c r="S161" s="421" t="n"/>
      <c r="T161" s="421" t="n"/>
      <c r="U161" s="487" t="n"/>
      <c r="V161" s="421" t="n"/>
      <c r="W161" s="421" t="n"/>
      <c r="X161" s="421" t="n"/>
    </row>
    <row r="162">
      <c r="A162" s="421" t="n"/>
      <c r="B162" s="421" t="n"/>
      <c r="C162" s="453" t="n"/>
      <c r="D162" s="421" t="n"/>
      <c r="E162" s="421" t="n"/>
      <c r="F162" s="487" t="n"/>
      <c r="G162" s="421" t="n"/>
      <c r="H162" s="421" t="n"/>
      <c r="I162" s="421" t="n"/>
      <c r="J162" s="514" t="n"/>
      <c r="K162" s="454" t="n"/>
      <c r="L162" s="421" t="n"/>
      <c r="M162" s="421" t="n"/>
      <c r="N162" s="421" t="n"/>
      <c r="O162" s="421" t="n"/>
      <c r="P162" s="421" t="n"/>
      <c r="Q162" s="456" t="n"/>
      <c r="R162" s="421" t="n"/>
      <c r="S162" s="421" t="n"/>
      <c r="T162" s="421" t="n"/>
      <c r="U162" s="487" t="n"/>
      <c r="V162" s="421" t="n"/>
      <c r="W162" s="421" t="n"/>
      <c r="X162" s="421" t="n"/>
    </row>
    <row r="163">
      <c r="A163" s="421" t="n"/>
      <c r="B163" s="421" t="n"/>
      <c r="C163" s="453" t="n"/>
      <c r="D163" s="421" t="n"/>
      <c r="E163" s="421" t="n"/>
      <c r="F163" s="487" t="n"/>
      <c r="G163" s="421" t="n"/>
      <c r="H163" s="421" t="n"/>
      <c r="I163" s="421" t="n"/>
      <c r="J163" s="514" t="n"/>
      <c r="K163" s="454" t="n"/>
      <c r="L163" s="421" t="n"/>
      <c r="M163" s="421" t="n"/>
      <c r="N163" s="421" t="n"/>
      <c r="O163" s="421" t="n"/>
      <c r="P163" s="421" t="n"/>
      <c r="Q163" s="456" t="n"/>
      <c r="R163" s="421" t="n"/>
      <c r="S163" s="421" t="n"/>
      <c r="T163" s="421" t="n"/>
      <c r="U163" s="487" t="n"/>
      <c r="V163" s="421" t="n"/>
      <c r="W163" s="515" t="n"/>
      <c r="X163" s="515" t="n"/>
    </row>
    <row r="164">
      <c r="A164" s="421" t="n"/>
      <c r="B164" s="421" t="n"/>
      <c r="C164" s="453" t="n"/>
      <c r="D164" s="421" t="n"/>
      <c r="E164" s="421" t="n"/>
      <c r="F164" s="487" t="n"/>
      <c r="G164" s="421" t="n"/>
      <c r="H164" s="421" t="n"/>
      <c r="I164" s="421" t="n"/>
      <c r="J164" s="514" t="n"/>
      <c r="K164" s="454" t="n"/>
      <c r="L164" s="421" t="n"/>
      <c r="M164" s="421" t="n"/>
      <c r="N164" s="421" t="n"/>
      <c r="O164" s="421" t="n"/>
      <c r="P164" s="421" t="n"/>
      <c r="Q164" s="456" t="n"/>
      <c r="R164" s="421" t="n"/>
      <c r="S164" s="421" t="n"/>
      <c r="T164" s="421" t="n"/>
      <c r="U164" s="487" t="n"/>
      <c r="V164" s="421" t="n"/>
      <c r="W164" s="515" t="n"/>
      <c r="X164" s="515" t="n"/>
    </row>
    <row r="165">
      <c r="A165" s="421" t="n"/>
      <c r="B165" s="421" t="n"/>
      <c r="C165" s="453" t="n"/>
      <c r="D165" s="421" t="n"/>
      <c r="E165" s="421" t="n"/>
      <c r="F165" s="487" t="n"/>
      <c r="G165" s="421" t="n"/>
      <c r="H165" s="421" t="n"/>
      <c r="I165" s="421" t="n"/>
      <c r="J165" s="514" t="n"/>
      <c r="K165" s="454" t="n"/>
      <c r="L165" s="421" t="n"/>
      <c r="M165" s="421" t="n"/>
      <c r="N165" s="421" t="n"/>
      <c r="O165" s="421" t="n"/>
      <c r="P165" s="421" t="n"/>
      <c r="Q165" s="456" t="n"/>
      <c r="R165" s="421" t="n"/>
      <c r="S165" s="421" t="n"/>
      <c r="T165" s="421" t="n"/>
      <c r="U165" s="487" t="n"/>
      <c r="V165" s="421" t="n"/>
      <c r="W165" s="421" t="n"/>
      <c r="X165" s="421" t="n"/>
    </row>
    <row r="166">
      <c r="A166" s="421" t="n"/>
      <c r="B166" s="421" t="n"/>
      <c r="C166" s="453" t="n"/>
      <c r="D166" s="421" t="n"/>
      <c r="E166" s="421" t="n"/>
      <c r="F166" s="487" t="n"/>
      <c r="G166" s="421" t="n"/>
      <c r="H166" s="421" t="n"/>
      <c r="I166" s="421" t="n"/>
      <c r="J166" s="514" t="n"/>
      <c r="K166" s="454" t="n"/>
      <c r="L166" s="421" t="n"/>
      <c r="M166" s="421" t="n"/>
      <c r="N166" s="421" t="n"/>
      <c r="O166" s="421" t="n"/>
      <c r="P166" s="421" t="n"/>
      <c r="Q166" s="456" t="n"/>
      <c r="R166" s="421" t="n"/>
      <c r="S166" s="421" t="n"/>
      <c r="T166" s="421" t="n"/>
      <c r="U166" s="487" t="n"/>
      <c r="V166" s="421" t="n"/>
      <c r="W166" s="421" t="n"/>
      <c r="X166" s="421" t="n"/>
    </row>
    <row r="167">
      <c r="A167" s="421" t="n"/>
      <c r="B167" s="421" t="n"/>
      <c r="C167" s="453" t="n"/>
      <c r="D167" s="421" t="n"/>
      <c r="E167" s="421" t="n"/>
      <c r="F167" s="487" t="n"/>
      <c r="G167" s="421" t="n"/>
      <c r="H167" s="421" t="n"/>
      <c r="I167" s="421" t="n"/>
      <c r="J167" s="514" t="n"/>
      <c r="K167" s="454" t="n"/>
      <c r="L167" s="421" t="n"/>
      <c r="M167" s="421" t="n"/>
      <c r="N167" s="421" t="n"/>
      <c r="O167" s="421" t="n"/>
      <c r="P167" s="421" t="n"/>
      <c r="Q167" s="456" t="n"/>
      <c r="R167" s="421" t="n"/>
      <c r="S167" s="421" t="n"/>
      <c r="T167" s="421" t="n"/>
      <c r="U167" s="487" t="n"/>
      <c r="V167" s="421" t="n"/>
      <c r="W167" s="517" t="n"/>
      <c r="X167" s="517" t="n"/>
    </row>
    <row r="168">
      <c r="A168" s="421" t="n"/>
      <c r="B168" s="421" t="n"/>
      <c r="C168" s="453" t="n"/>
      <c r="D168" s="421" t="n"/>
      <c r="E168" s="421" t="n"/>
      <c r="F168" s="487" t="n"/>
      <c r="G168" s="421" t="n"/>
      <c r="H168" s="421" t="n"/>
      <c r="I168" s="421" t="n"/>
      <c r="J168" s="514" t="n"/>
      <c r="K168" s="454" t="n"/>
      <c r="L168" s="421" t="n"/>
      <c r="M168" s="421" t="n"/>
      <c r="N168" s="421" t="n"/>
      <c r="O168" s="421" t="n"/>
      <c r="P168" s="421" t="n"/>
      <c r="Q168" s="456" t="n"/>
      <c r="R168" s="421" t="n"/>
      <c r="S168" s="421" t="n"/>
      <c r="T168" s="421" t="n"/>
      <c r="U168" s="487" t="n"/>
      <c r="V168" s="421" t="n"/>
      <c r="W168" s="515" t="n"/>
      <c r="X168" s="515" t="n"/>
    </row>
    <row r="169">
      <c r="A169" s="421" t="n"/>
      <c r="B169" s="421" t="n"/>
      <c r="C169" s="453" t="n"/>
      <c r="D169" s="421" t="n"/>
      <c r="E169" s="421" t="n"/>
      <c r="F169" s="487" t="n"/>
      <c r="G169" s="421" t="n"/>
      <c r="H169" s="421" t="n"/>
      <c r="I169" s="421" t="n"/>
      <c r="J169" s="514" t="n"/>
      <c r="K169" s="454" t="n"/>
      <c r="L169" s="421" t="n"/>
      <c r="M169" s="421" t="n"/>
      <c r="N169" s="421" t="n"/>
      <c r="O169" s="421" t="n"/>
      <c r="P169" s="421" t="n"/>
      <c r="Q169" s="456" t="n"/>
      <c r="R169" s="421" t="n"/>
      <c r="S169" s="421" t="n"/>
      <c r="T169" s="421" t="n"/>
      <c r="U169" s="487" t="n"/>
      <c r="V169" s="421" t="n"/>
      <c r="W169" s="515" t="n"/>
      <c r="X169" s="515" t="n"/>
    </row>
    <row r="170">
      <c r="A170" s="421" t="n"/>
      <c r="B170" s="421" t="n"/>
      <c r="C170" s="453" t="n"/>
      <c r="D170" s="421" t="n"/>
      <c r="E170" s="421" t="n"/>
      <c r="F170" s="487" t="n"/>
      <c r="G170" s="421" t="n"/>
      <c r="H170" s="421" t="n"/>
      <c r="I170" s="421" t="n"/>
      <c r="J170" s="514" t="n"/>
      <c r="K170" s="454" t="n"/>
      <c r="L170" s="421" t="n"/>
      <c r="M170" s="421" t="n"/>
      <c r="N170" s="421" t="n"/>
      <c r="O170" s="421" t="n"/>
      <c r="P170" s="421" t="n"/>
      <c r="Q170" s="456" t="n"/>
      <c r="R170" s="421" t="n"/>
      <c r="S170" s="421" t="n"/>
      <c r="T170" s="421" t="n"/>
      <c r="U170" s="487" t="n"/>
      <c r="V170" s="421" t="n"/>
      <c r="W170" s="421" t="n"/>
      <c r="X170" s="421" t="n"/>
    </row>
    <row r="171">
      <c r="A171" s="421" t="n"/>
      <c r="B171" s="421" t="n"/>
      <c r="C171" s="453" t="n"/>
      <c r="D171" s="421" t="n"/>
      <c r="E171" s="421" t="n"/>
      <c r="F171" s="487" t="n"/>
      <c r="G171" s="421" t="n"/>
      <c r="H171" s="421" t="n"/>
      <c r="I171" s="421" t="n"/>
      <c r="J171" s="514" t="n"/>
      <c r="K171" s="454" t="n"/>
      <c r="L171" s="421" t="n"/>
      <c r="M171" s="421" t="n"/>
      <c r="N171" s="421" t="n"/>
      <c r="O171" s="421" t="n"/>
      <c r="P171" s="421" t="n"/>
      <c r="Q171" s="456" t="n"/>
      <c r="R171" s="421" t="n"/>
      <c r="S171" s="421" t="n"/>
      <c r="T171" s="421" t="n"/>
      <c r="U171" s="487" t="n"/>
      <c r="V171" s="421" t="n"/>
      <c r="W171" s="421" t="n"/>
      <c r="X171" s="421" t="n"/>
    </row>
    <row r="172">
      <c r="A172" s="421" t="n"/>
      <c r="B172" s="421" t="n"/>
      <c r="C172" s="453" t="n"/>
      <c r="D172" s="421" t="n"/>
      <c r="E172" s="421" t="n"/>
      <c r="F172" s="487" t="n"/>
      <c r="G172" s="421" t="n"/>
      <c r="H172" s="421" t="n"/>
      <c r="I172" s="421" t="n"/>
      <c r="J172" s="514" t="n"/>
      <c r="K172" s="454" t="n"/>
      <c r="L172" s="421" t="n"/>
      <c r="M172" s="421" t="n"/>
      <c r="N172" s="421" t="n"/>
      <c r="O172" s="421" t="n"/>
      <c r="P172" s="421" t="n"/>
      <c r="Q172" s="456" t="n"/>
      <c r="R172" s="421" t="n"/>
      <c r="S172" s="421" t="n"/>
      <c r="T172" s="421" t="n"/>
      <c r="U172" s="487" t="n"/>
      <c r="V172" s="421" t="n"/>
      <c r="W172" s="421" t="n"/>
      <c r="X172" s="421" t="n"/>
    </row>
    <row r="173">
      <c r="A173" s="421" t="n"/>
      <c r="B173" s="421" t="n"/>
      <c r="C173" s="453" t="n"/>
      <c r="D173" s="421" t="n"/>
      <c r="E173" s="421" t="n"/>
      <c r="F173" s="487" t="n"/>
      <c r="G173" s="421" t="n"/>
      <c r="H173" s="421" t="n"/>
      <c r="I173" s="421" t="n"/>
      <c r="J173" s="421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21" t="n"/>
      <c r="V173" s="421" t="n"/>
      <c r="W173" s="421" t="n"/>
      <c r="X173" s="421" t="n"/>
    </row>
    <row r="174">
      <c r="A174" s="421" t="n"/>
      <c r="B174" s="421" t="n"/>
      <c r="C174" s="453" t="n"/>
      <c r="D174" s="421" t="n"/>
      <c r="E174" s="421" t="n"/>
      <c r="F174" s="487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56" t="n"/>
      <c r="R174" s="421" t="n"/>
      <c r="S174" s="421" t="n"/>
      <c r="T174" s="421" t="n"/>
      <c r="U174" s="487" t="n"/>
      <c r="V174" s="421" t="n"/>
      <c r="W174" s="421" t="n"/>
      <c r="X174" s="421" t="n"/>
    </row>
    <row r="175">
      <c r="A175" s="421" t="n"/>
      <c r="B175" s="421" t="n"/>
      <c r="C175" s="453" t="n"/>
      <c r="D175" s="421" t="n"/>
      <c r="E175" s="421" t="n"/>
      <c r="F175" s="487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56" t="n"/>
      <c r="R175" s="421" t="n"/>
      <c r="S175" s="421" t="n"/>
      <c r="T175" s="421" t="n"/>
      <c r="U175" s="487" t="n"/>
      <c r="V175" s="421" t="n"/>
      <c r="W175" s="421" t="n"/>
      <c r="X175" s="421" t="n"/>
    </row>
    <row r="176">
      <c r="A176" s="421" t="n"/>
      <c r="B176" s="421" t="n"/>
      <c r="C176" s="453" t="n"/>
      <c r="D176" s="421" t="n"/>
      <c r="E176" s="421" t="n"/>
      <c r="F176" s="487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56" t="n"/>
      <c r="R176" s="421" t="n"/>
      <c r="S176" s="421" t="n"/>
      <c r="T176" s="421" t="n"/>
      <c r="U176" s="487" t="n"/>
      <c r="V176" s="421" t="n"/>
      <c r="W176" s="421" t="n"/>
      <c r="X176" s="421" t="n"/>
    </row>
    <row r="177">
      <c r="A177" s="421" t="n"/>
      <c r="B177" s="421" t="n"/>
      <c r="C177" s="453" t="n"/>
      <c r="D177" s="421" t="n"/>
      <c r="E177" s="421" t="n"/>
      <c r="F177" s="487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56" t="n"/>
      <c r="R177" s="421" t="n"/>
      <c r="S177" s="421" t="n"/>
      <c r="T177" s="421" t="n"/>
      <c r="U177" s="487" t="n"/>
      <c r="V177" s="421" t="n"/>
      <c r="W177" s="421" t="n"/>
      <c r="X177" s="421" t="n"/>
    </row>
    <row r="178">
      <c r="A178" s="421" t="n"/>
      <c r="B178" s="421" t="n"/>
      <c r="C178" s="453" t="n"/>
      <c r="D178" s="421" t="n"/>
      <c r="E178" s="421" t="n"/>
      <c r="F178" s="487" t="n"/>
      <c r="G178" s="421" t="n"/>
      <c r="H178" s="421" t="n"/>
      <c r="I178" s="421" t="n"/>
      <c r="J178" s="514" t="n"/>
      <c r="K178" s="454" t="n"/>
      <c r="L178" s="421" t="n"/>
      <c r="M178" s="421" t="n"/>
      <c r="N178" s="421" t="n"/>
      <c r="O178" s="421" t="n"/>
      <c r="P178" s="421" t="n"/>
      <c r="Q178" s="515" t="n"/>
      <c r="R178" s="421" t="n"/>
      <c r="S178" s="421" t="n"/>
      <c r="T178" s="421" t="n"/>
      <c r="U178" s="487" t="n"/>
      <c r="V178" s="421" t="n"/>
      <c r="W178" s="421" t="n"/>
      <c r="X178" s="421" t="n"/>
    </row>
    <row r="179">
      <c r="A179" s="421" t="n"/>
      <c r="B179" s="421" t="n"/>
      <c r="C179" s="453" t="n"/>
      <c r="D179" s="421" t="n"/>
      <c r="E179" s="421" t="n"/>
      <c r="F179" s="487" t="n"/>
      <c r="G179" s="421" t="n"/>
      <c r="H179" s="421" t="n"/>
      <c r="I179" s="421" t="n"/>
      <c r="J179" s="514" t="n"/>
      <c r="K179" s="454" t="n"/>
      <c r="L179" s="421" t="n"/>
      <c r="M179" s="421" t="n"/>
      <c r="N179" s="421" t="n"/>
      <c r="O179" s="421" t="n"/>
      <c r="P179" s="421" t="n"/>
      <c r="Q179" s="517" t="n"/>
      <c r="R179" s="421" t="n"/>
      <c r="S179" s="421" t="n"/>
      <c r="T179" s="421" t="n"/>
      <c r="U179" s="487" t="n"/>
      <c r="V179" s="421" t="n"/>
      <c r="W179" s="421" t="n"/>
      <c r="X179" s="421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514" t="n"/>
      <c r="K180" s="454" t="n"/>
      <c r="L180" s="421" t="n"/>
      <c r="M180" s="421" t="n"/>
      <c r="N180" s="570" t="n"/>
      <c r="O180" s="421" t="n"/>
      <c r="P180" s="421" t="n"/>
      <c r="Q180" s="570" t="n"/>
      <c r="R180" s="421" t="n"/>
      <c r="S180" s="421" t="n"/>
      <c r="T180" s="421" t="n"/>
      <c r="U180" s="487" t="n"/>
      <c r="V180" s="421" t="n"/>
      <c r="W180" s="421" t="n"/>
      <c r="X180" s="421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514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514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515" t="n"/>
      <c r="X182" s="515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514" t="n"/>
      <c r="K183" s="454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514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421" t="n"/>
      <c r="X184" s="42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514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7" t="n"/>
      <c r="X185" s="517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514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514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515" t="n"/>
      <c r="X187" s="515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514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514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514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87" t="n"/>
      <c r="V190" s="421" t="n"/>
      <c r="W190" s="421" t="n"/>
      <c r="X190" s="421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21" t="n"/>
      <c r="V191" s="421" t="n"/>
      <c r="W191" s="421" t="n"/>
      <c r="X191" s="421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21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</row>
    <row r="196">
      <c r="A196" s="421" t="n"/>
      <c r="B196" s="421" t="n"/>
      <c r="C196" s="453" t="n"/>
      <c r="D196" s="421" t="n"/>
      <c r="E196" s="421" t="n"/>
      <c r="F196" s="487" t="n"/>
      <c r="G196" s="421" t="n"/>
      <c r="H196" s="421" t="n"/>
      <c r="I196" s="421" t="n"/>
      <c r="J196" s="514" t="n"/>
      <c r="K196" s="454" t="n"/>
      <c r="L196" s="421" t="n"/>
      <c r="M196" s="421" t="n"/>
      <c r="N196" s="421" t="n"/>
      <c r="O196" s="421" t="n"/>
      <c r="P196" s="421" t="n"/>
      <c r="Q196" s="515" t="n"/>
      <c r="R196" s="421" t="n"/>
      <c r="S196" s="421" t="n"/>
      <c r="T196" s="421" t="n"/>
      <c r="U196" s="487" t="n"/>
      <c r="V196" s="421" t="n"/>
      <c r="W196" s="421" t="n"/>
      <c r="X196" s="421" t="n"/>
    </row>
    <row r="197">
      <c r="A197" s="421" t="n"/>
      <c r="B197" s="421" t="n"/>
      <c r="C197" s="453" t="n"/>
      <c r="D197" s="421" t="n"/>
      <c r="E197" s="421" t="n"/>
      <c r="F197" s="487" t="n"/>
      <c r="G197" s="421" t="n"/>
      <c r="H197" s="421" t="n"/>
      <c r="I197" s="421" t="n"/>
      <c r="J197" s="514" t="n"/>
      <c r="K197" s="454" t="n"/>
      <c r="L197" s="421" t="n"/>
      <c r="M197" s="421" t="n"/>
      <c r="N197" s="421" t="n"/>
      <c r="O197" s="421" t="n"/>
      <c r="P197" s="421" t="n"/>
      <c r="Q197" s="517" t="n"/>
      <c r="R197" s="421" t="n"/>
      <c r="S197" s="421" t="n"/>
      <c r="T197" s="421" t="n"/>
      <c r="U197" s="487" t="n"/>
      <c r="V197" s="421" t="n"/>
      <c r="W197" s="421" t="n"/>
      <c r="X197" s="421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514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21" t="n"/>
      <c r="V198" s="421" t="n"/>
      <c r="W198" s="421" t="n"/>
      <c r="X198" s="421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514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514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421" t="n"/>
      <c r="X200" s="42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514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421" t="n"/>
      <c r="X201" s="421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21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421" t="n"/>
      <c r="X202" s="421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21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21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21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87" t="n"/>
      <c r="V206" s="421" t="n"/>
      <c r="W206" s="421" t="n"/>
      <c r="X206" s="421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</row>
    <row r="208">
      <c r="A208" s="421" t="n"/>
      <c r="B208" s="421" t="n"/>
      <c r="C208" s="421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21" t="n"/>
      <c r="R208" s="421" t="n"/>
      <c r="S208" s="421" t="n"/>
      <c r="T208" s="421" t="n"/>
      <c r="U208" s="421" t="n"/>
      <c r="V208" s="421" t="n"/>
      <c r="W208" s="421" t="n"/>
      <c r="X208" s="421" t="n"/>
    </row>
    <row r="209">
      <c r="A209" s="421" t="n"/>
      <c r="B209" s="421" t="n"/>
      <c r="C209" s="421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21" t="n"/>
      <c r="R209" s="421" t="n"/>
      <c r="S209" s="421" t="n"/>
      <c r="T209" s="421" t="n"/>
      <c r="U209" s="421" t="n"/>
      <c r="V209" s="421" t="n"/>
      <c r="W209" s="421" t="n"/>
      <c r="X209" s="421" t="n"/>
    </row>
    <row r="210">
      <c r="A210" s="421" t="n"/>
      <c r="B210" s="421" t="n"/>
      <c r="C210" s="421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21" t="n"/>
      <c r="R210" s="421" t="n"/>
      <c r="S210" s="421" t="n"/>
      <c r="T210" s="421" t="n"/>
      <c r="U210" s="421" t="n"/>
      <c r="V210" s="421" t="n"/>
      <c r="W210" s="421" t="n"/>
      <c r="X210" s="421" t="n"/>
    </row>
    <row r="211">
      <c r="A211" s="421" t="n"/>
      <c r="B211" s="421" t="n"/>
      <c r="C211" s="421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21" t="n"/>
      <c r="R211" s="421" t="n"/>
      <c r="S211" s="421" t="n"/>
      <c r="T211" s="421" t="n"/>
      <c r="U211" s="421" t="n"/>
      <c r="V211" s="421" t="n"/>
      <c r="W211" s="421" t="n"/>
      <c r="X211" s="421" t="n"/>
    </row>
    <row r="212">
      <c r="A212" s="421" t="n"/>
      <c r="B212" s="421" t="n"/>
      <c r="C212" s="421" t="n"/>
      <c r="D212" s="421" t="n"/>
      <c r="E212" s="421" t="n"/>
      <c r="F212" s="421" t="n"/>
      <c r="G212" s="421" t="n"/>
      <c r="H212" s="421" t="n"/>
      <c r="I212" s="421" t="n"/>
      <c r="J212" s="421" t="n"/>
      <c r="K212" s="454" t="n"/>
      <c r="L212" s="421" t="n"/>
      <c r="M212" s="421" t="n"/>
      <c r="N212" s="421" t="n"/>
      <c r="O212" s="421" t="n"/>
      <c r="P212" s="421" t="n"/>
      <c r="Q212" s="421" t="n"/>
      <c r="R212" s="421" t="n"/>
      <c r="S212" s="421" t="n"/>
      <c r="T212" s="421" t="n"/>
      <c r="U212" s="421" t="n"/>
      <c r="V212" s="421" t="n"/>
      <c r="W212" s="421" t="n"/>
      <c r="X212" s="421" t="n"/>
    </row>
    <row r="213">
      <c r="A213" s="421" t="n"/>
      <c r="B213" s="421" t="n"/>
      <c r="C213" s="421" t="n"/>
      <c r="D213" s="421" t="n"/>
      <c r="E213" s="421" t="n"/>
      <c r="F213" s="421" t="n"/>
      <c r="G213" s="421" t="n"/>
      <c r="H213" s="421" t="n"/>
      <c r="I213" s="421" t="n"/>
      <c r="J213" s="421" t="n"/>
      <c r="K213" s="454" t="n"/>
      <c r="L213" s="421" t="n"/>
      <c r="M213" s="421" t="n"/>
      <c r="N213" s="421" t="n"/>
      <c r="O213" s="421" t="n"/>
      <c r="P213" s="421" t="n"/>
      <c r="Q213" s="421" t="n"/>
      <c r="R213" s="421" t="n"/>
      <c r="S213" s="421" t="n"/>
      <c r="T213" s="421" t="n"/>
      <c r="U213" s="421" t="n"/>
      <c r="V213" s="421" t="n"/>
      <c r="W213" s="421" t="n"/>
      <c r="X213" s="421" t="n"/>
    </row>
    <row r="214">
      <c r="A214" s="421" t="n"/>
      <c r="B214" s="421" t="n"/>
      <c r="C214" s="421" t="n"/>
      <c r="D214" s="421" t="n"/>
      <c r="E214" s="421" t="n"/>
      <c r="F214" s="421" t="n"/>
      <c r="G214" s="421" t="n"/>
      <c r="H214" s="421" t="n"/>
      <c r="I214" s="421" t="n"/>
      <c r="J214" s="421" t="n"/>
      <c r="K214" s="454" t="n"/>
      <c r="L214" s="421" t="n"/>
      <c r="M214" s="421" t="n"/>
      <c r="N214" s="421" t="n"/>
      <c r="O214" s="421" t="n"/>
      <c r="P214" s="421" t="n"/>
      <c r="Q214" s="421" t="n"/>
      <c r="R214" s="421" t="n"/>
      <c r="S214" s="421" t="n"/>
      <c r="T214" s="421" t="n"/>
      <c r="U214" s="421" t="n"/>
      <c r="V214" s="421" t="n"/>
      <c r="W214" s="421" t="n"/>
      <c r="X214" s="421" t="n"/>
    </row>
    <row r="215">
      <c r="A215" s="421" t="n"/>
      <c r="B215" s="421" t="n"/>
      <c r="C215" s="421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21" t="n"/>
      <c r="R215" s="421" t="n"/>
      <c r="S215" s="421" t="n"/>
      <c r="T215" s="421" t="n"/>
      <c r="U215" s="421" t="n"/>
      <c r="V215" s="421" t="n"/>
      <c r="W215" s="421" t="n"/>
      <c r="X215" s="421" t="n"/>
    </row>
    <row r="216">
      <c r="A216" s="421" t="n"/>
      <c r="B216" s="421" t="n"/>
      <c r="C216" s="421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21" t="n"/>
      <c r="R216" s="421" t="n"/>
      <c r="S216" s="421" t="n"/>
      <c r="T216" s="421" t="n"/>
      <c r="U216" s="421" t="n"/>
      <c r="V216" s="421" t="n"/>
      <c r="W216" s="421" t="n"/>
      <c r="X216" s="421" t="n"/>
    </row>
    <row r="217">
      <c r="A217" s="421" t="n"/>
      <c r="B217" s="421" t="n"/>
      <c r="C217" s="421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21" t="n"/>
      <c r="R217" s="421" t="n"/>
      <c r="S217" s="421" t="n"/>
      <c r="T217" s="421" t="n"/>
      <c r="U217" s="421" t="n"/>
      <c r="V217" s="421" t="n"/>
      <c r="W217" s="421" t="n"/>
      <c r="X217" s="421" t="n"/>
    </row>
    <row r="218">
      <c r="A218" s="421" t="n"/>
      <c r="B218" s="421" t="n"/>
      <c r="C218" s="421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21" t="n"/>
      <c r="R218" s="421" t="n"/>
      <c r="S218" s="421" t="n"/>
      <c r="T218" s="421" t="n"/>
      <c r="U218" s="421" t="n"/>
      <c r="V218" s="421" t="n"/>
      <c r="W218" s="421" t="n"/>
      <c r="X218" s="421" t="n"/>
    </row>
    <row r="219">
      <c r="A219" s="421" t="n"/>
      <c r="B219" s="421" t="n"/>
      <c r="C219" s="421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21" t="n"/>
      <c r="R219" s="421" t="n"/>
      <c r="S219" s="421" t="n"/>
      <c r="T219" s="421" t="n"/>
      <c r="U219" s="421" t="n"/>
      <c r="V219" s="421" t="n"/>
      <c r="W219" s="421" t="n"/>
      <c r="X219" s="421" t="n"/>
    </row>
    <row r="220">
      <c r="A220" s="421" t="n"/>
      <c r="B220" s="421" t="n"/>
      <c r="C220" s="421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21" t="n"/>
      <c r="R220" s="421" t="n"/>
      <c r="S220" s="421" t="n"/>
      <c r="T220" s="421" t="n"/>
      <c r="U220" s="421" t="n"/>
      <c r="V220" s="421" t="n"/>
      <c r="W220" s="421" t="n"/>
      <c r="X220" s="421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87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87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87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87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87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87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87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87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87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87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87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87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87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87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</row>
  </sheetData>
  <autoFilter ref="$A$3:$X$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N118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n"/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1</t>
        </is>
      </c>
      <c r="X2" s="519" t="inlineStr">
        <is>
          <t>2</t>
        </is>
      </c>
      <c r="Y2" s="519" t="inlineStr">
        <is>
          <t>3</t>
        </is>
      </c>
      <c r="Z2" s="519" t="inlineStr">
        <is>
          <t>4</t>
        </is>
      </c>
      <c r="AA2" s="519" t="inlineStr">
        <is>
          <t>5</t>
        </is>
      </c>
      <c r="AB2" s="519" t="inlineStr">
        <is>
          <t>6</t>
        </is>
      </c>
      <c r="AC2" s="519" t="inlineStr">
        <is>
          <t>7</t>
        </is>
      </c>
      <c r="AD2" s="519" t="inlineStr">
        <is>
          <t>8</t>
        </is>
      </c>
      <c r="AE2" s="519" t="inlineStr">
        <is>
          <t>9</t>
        </is>
      </c>
      <c r="AF2" s="519" t="inlineStr">
        <is>
          <t>10</t>
        </is>
      </c>
      <c r="AG2" s="519" t="inlineStr">
        <is>
          <t>11</t>
        </is>
      </c>
      <c r="AH2" s="519" t="inlineStr">
        <is>
          <t>12</t>
        </is>
      </c>
      <c r="AI2" s="519" t="inlineStr">
        <is>
          <t>13</t>
        </is>
      </c>
      <c r="AJ2" s="519" t="inlineStr">
        <is>
          <t>14</t>
        </is>
      </c>
      <c r="AK2" s="519" t="inlineStr">
        <is>
          <t>15</t>
        </is>
      </c>
      <c r="AL2" s="519" t="inlineStr">
        <is>
          <t>16</t>
        </is>
      </c>
      <c r="AM2" s="519" t="inlineStr">
        <is>
          <t>17</t>
        </is>
      </c>
      <c r="AN2" s="519" t="inlineStr">
        <is>
          <t>18</t>
        </is>
      </c>
    </row>
    <row r="3">
      <c r="A3" s="531" t="inlineStr">
        <is>
          <t>мат. (чтобы материал попал в сводную)</t>
        </is>
      </c>
      <c r="B3" s="531" t="inlineStr">
        <is>
          <t>ШИФР (проекта полностью)</t>
        </is>
      </c>
      <c r="C3" s="531" t="inlineStr">
        <is>
          <t>Дата выдачи комплекта</t>
        </is>
      </c>
      <c r="D3" s="531" t="inlineStr">
        <is>
          <t>Раздел</t>
        </is>
      </c>
      <c r="E3" s="531" t="inlineStr">
        <is>
          <t>Материал относительно которого считается объем работ</t>
        </is>
      </c>
      <c r="F3" s="532" t="inlineStr">
        <is>
          <t>Состав работ</t>
        </is>
      </c>
      <c r="G3" s="531" t="inlineStr">
        <is>
          <t>Номер корпуса</t>
        </is>
      </c>
      <c r="H3" s="531" t="inlineStr">
        <is>
          <t>Наименование работ под материал из 1С/договора субподряда</t>
        </is>
      </c>
      <c r="I3" s="533" t="n"/>
      <c r="J3" s="531" t="inlineStr">
        <is>
          <t>Объем работ на базовые материалы</t>
        </is>
      </c>
      <c r="K3" s="531" t="inlineStr">
        <is>
          <t>Все харрактеристики со спецификации по материалу</t>
        </is>
      </c>
      <c r="L3" s="531" t="inlineStr">
        <is>
          <t>Ед.изм по РД</t>
        </is>
      </c>
      <c r="M3" s="531" t="inlineStr">
        <is>
          <t>Кол-во со спецификации</t>
        </is>
      </c>
      <c r="N3" s="531" t="inlineStr">
        <is>
          <t>Кол-во по подсчету в ед.изм.РД (Сумма по этажам)</t>
        </is>
      </c>
      <c r="O3" s="533" t="n"/>
      <c r="P3" s="533" t="n"/>
      <c r="Q3" s="531" t="inlineStr">
        <is>
          <t>Итого с коэф.перевода</t>
        </is>
      </c>
      <c r="R3" s="531" t="inlineStr">
        <is>
          <t>ед. изм. НОМЕНКЛАТУРЫ</t>
        </is>
      </c>
      <c r="S3" s="531" t="inlineStr">
        <is>
          <t>Соответствующая позиции номенклатура</t>
        </is>
      </c>
      <c r="T3" s="531" t="inlineStr">
        <is>
          <t>Соответствующее наименование производителя</t>
        </is>
      </c>
      <c r="U3" s="531" t="inlineStr">
        <is>
          <t>Доп. информация</t>
        </is>
      </c>
      <c r="V3" s="533" t="n"/>
      <c r="W3" s="534" t="inlineStr">
        <is>
          <t>Кол-во на этаже</t>
        </is>
      </c>
      <c r="X3" s="534" t="inlineStr">
        <is>
          <t>Кол-во на этаже</t>
        </is>
      </c>
      <c r="Y3" s="534" t="inlineStr">
        <is>
          <t>Кол-во на этаже</t>
        </is>
      </c>
      <c r="Z3" s="534" t="inlineStr">
        <is>
          <t>Кол-во на этаже</t>
        </is>
      </c>
      <c r="AA3" s="534" t="inlineStr">
        <is>
          <t>Кол-во на этаже</t>
        </is>
      </c>
      <c r="AB3" s="534" t="inlineStr">
        <is>
          <t>Кол-во на этаже</t>
        </is>
      </c>
      <c r="AC3" s="534" t="inlineStr">
        <is>
          <t>Кол-во на этаже</t>
        </is>
      </c>
      <c r="AD3" s="534" t="inlineStr">
        <is>
          <t>Кол-во на этаже</t>
        </is>
      </c>
      <c r="AE3" s="534" t="inlineStr">
        <is>
          <t>Кол-во на этаже</t>
        </is>
      </c>
      <c r="AF3" s="534" t="inlineStr">
        <is>
          <t>Кол-во на этаже</t>
        </is>
      </c>
      <c r="AG3" s="534" t="inlineStr">
        <is>
          <t>Кол-во на этаже</t>
        </is>
      </c>
      <c r="AH3" s="534" t="inlineStr">
        <is>
          <t>Кол-во на этаже</t>
        </is>
      </c>
      <c r="AI3" s="534" t="inlineStr">
        <is>
          <t>Кол-во на этаже</t>
        </is>
      </c>
      <c r="AJ3" s="534" t="inlineStr">
        <is>
          <t>Кол-во на этаже</t>
        </is>
      </c>
      <c r="AK3" s="534" t="inlineStr">
        <is>
          <t>Кол-во на этаже</t>
        </is>
      </c>
      <c r="AL3" s="534" t="inlineStr">
        <is>
          <t>Кол-во на этаже</t>
        </is>
      </c>
      <c r="AM3" s="534" t="inlineStr">
        <is>
          <t>Кол-во на этаже</t>
        </is>
      </c>
      <c r="AN3" s="534" t="inlineStr">
        <is>
          <t>Кол-во на этаже</t>
        </is>
      </c>
    </row>
    <row r="4" hidden="1" s="1227">
      <c r="A4" s="421" t="inlineStr">
        <is>
          <t>мат.</t>
        </is>
      </c>
      <c r="B4" s="421" t="inlineStr">
        <is>
          <t>13АВ-РД-АР1.1-К5</t>
        </is>
      </c>
      <c r="C4" s="453" t="n">
        <v>45846</v>
      </c>
      <c r="D4" s="421" t="inlineStr">
        <is>
          <t>Кладка</t>
        </is>
      </c>
      <c r="E4" s="421" t="inlineStr">
        <is>
          <t>БАЗА</t>
        </is>
      </c>
      <c r="F4" s="487" t="inlineStr">
        <is>
          <t>Внутренние стены D600 100 мм</t>
        </is>
      </c>
      <c r="G4" s="421" t="n">
        <v>5</v>
      </c>
      <c r="H4" s="421" t="n"/>
      <c r="I4" s="421" t="n"/>
      <c r="J4" s="514" t="n"/>
      <c r="K4" s="535" t="inlineStr">
        <is>
          <t xml:space="preserve">Газобетонный блок, толщиной 100мм, D600 </t>
        </is>
      </c>
      <c r="L4" s="381" t="n"/>
      <c r="M4" s="421" t="n"/>
      <c r="N4" s="421" t="n"/>
      <c r="O4" s="421" t="n"/>
      <c r="P4" s="421" t="n"/>
      <c r="Q4" s="456">
        <f>SUM(W4,AK4)</f>
        <v/>
      </c>
      <c r="R4" s="421" t="inlineStr">
        <is>
          <t>м2</t>
        </is>
      </c>
      <c r="S4" s="421" t="n"/>
      <c r="T4" s="421" t="n"/>
      <c r="U4" s="487" t="inlineStr">
        <is>
          <t>СВ-1.4</t>
        </is>
      </c>
      <c r="V4" s="421" t="n"/>
      <c r="W4" s="515" t="n">
        <v>284.4</v>
      </c>
      <c r="X4" s="421" t="n">
        <v>0</v>
      </c>
      <c r="Y4" s="421" t="n">
        <v>0</v>
      </c>
      <c r="Z4" s="421" t="n">
        <v>0</v>
      </c>
      <c r="AA4" s="421" t="n">
        <v>0</v>
      </c>
      <c r="AB4" s="421" t="n">
        <v>0</v>
      </c>
      <c r="AC4" s="421" t="n">
        <v>0</v>
      </c>
      <c r="AD4" s="421" t="n">
        <v>0</v>
      </c>
      <c r="AE4" s="421" t="n">
        <v>0</v>
      </c>
      <c r="AF4" s="421" t="n">
        <v>0</v>
      </c>
      <c r="AG4" s="421" t="n">
        <v>0</v>
      </c>
      <c r="AH4" s="421" t="n">
        <v>0</v>
      </c>
      <c r="AI4" s="421" t="n">
        <v>0</v>
      </c>
      <c r="AJ4" s="421" t="n">
        <v>0</v>
      </c>
      <c r="AK4" s="421" t="n">
        <v>0</v>
      </c>
      <c r="AL4" s="452" t="n"/>
      <c r="AM4" s="452" t="n"/>
      <c r="AN4" s="452" t="n"/>
    </row>
    <row r="5" hidden="1" s="1227">
      <c r="A5" s="421" t="inlineStr">
        <is>
          <t>мат.</t>
        </is>
      </c>
      <c r="B5" s="421" t="inlineStr">
        <is>
          <t>13АВ-РД-АР1.1-К5</t>
        </is>
      </c>
      <c r="C5" s="453" t="n">
        <v>45846</v>
      </c>
      <c r="D5" s="421" t="inlineStr">
        <is>
          <t>Кладка</t>
        </is>
      </c>
      <c r="E5" s="421" t="inlineStr">
        <is>
          <t>БАЗА</t>
        </is>
      </c>
      <c r="F5" s="487" t="inlineStr">
        <is>
          <t>Внутренние стены D600 100 мм</t>
        </is>
      </c>
      <c r="G5" s="421" t="n">
        <v>5</v>
      </c>
      <c r="H5" s="421" t="n"/>
      <c r="I5" s="421" t="n"/>
      <c r="J5" s="514" t="n"/>
      <c r="K5" s="535" t="inlineStr">
        <is>
          <t xml:space="preserve">Газобетонный блок, толщиной 100мм, D600 </t>
        </is>
      </c>
      <c r="L5" s="381" t="n"/>
      <c r="M5" s="421" t="n"/>
      <c r="N5" s="421" t="n"/>
      <c r="O5" s="421" t="n"/>
      <c r="P5" s="421" t="n"/>
      <c r="Q5" s="456">
        <f>SUM(W5+X5+Y5+Z5+AA5+AB5+AC5+AD5+AE5+AF5+AG5+AH5+AI5+AJ5+AK5)</f>
        <v/>
      </c>
      <c r="R5" s="421" t="inlineStr">
        <is>
          <t>м2</t>
        </is>
      </c>
      <c r="S5" s="421" t="n"/>
      <c r="T5" s="421" t="n"/>
      <c r="U5" s="487" t="inlineStr">
        <is>
          <t>СВ-1.4</t>
        </is>
      </c>
      <c r="V5" s="421" t="n"/>
      <c r="W5" s="515" t="n">
        <v>84.90000000000001</v>
      </c>
      <c r="X5" s="421" t="n">
        <v>27</v>
      </c>
      <c r="Y5" s="421" t="n">
        <v>27</v>
      </c>
      <c r="Z5" s="421" t="n">
        <v>27</v>
      </c>
      <c r="AA5" s="421" t="n">
        <v>27</v>
      </c>
      <c r="AB5" s="421" t="n">
        <v>27</v>
      </c>
      <c r="AC5" s="421" t="n">
        <v>27</v>
      </c>
      <c r="AD5" s="421" t="n">
        <v>27</v>
      </c>
      <c r="AE5" s="421" t="n">
        <v>27</v>
      </c>
      <c r="AF5" s="421" t="n">
        <v>27</v>
      </c>
      <c r="AG5" s="421" t="n">
        <v>27</v>
      </c>
      <c r="AH5" s="421" t="n">
        <v>27</v>
      </c>
      <c r="AI5" s="421" t="n">
        <v>27</v>
      </c>
      <c r="AJ5" s="421" t="n">
        <v>29.3</v>
      </c>
      <c r="AK5" s="421" t="n">
        <v>21.3</v>
      </c>
      <c r="AL5" s="452" t="n"/>
      <c r="AM5" s="452" t="n"/>
      <c r="AN5" s="452" t="n"/>
    </row>
    <row r="6" hidden="1" s="1227">
      <c r="A6" s="421" t="inlineStr">
        <is>
          <t>мат.</t>
        </is>
      </c>
      <c r="B6" s="421" t="inlineStr">
        <is>
          <t>13АВ-РД-АР1.1-К5</t>
        </is>
      </c>
      <c r="C6" s="453" t="n">
        <v>45846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Внутренние стены D600 100 мм</t>
        </is>
      </c>
      <c r="G6" s="421" t="n">
        <v>5</v>
      </c>
      <c r="H6" s="421" t="n"/>
      <c r="I6" s="421" t="n"/>
      <c r="J6" s="514" t="n"/>
      <c r="K6" s="536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6" s="381" t="n"/>
      <c r="M6" s="421" t="n"/>
      <c r="N6" s="421" t="n"/>
      <c r="O6" s="421" t="n"/>
      <c r="P6" s="421" t="n"/>
      <c r="Q6" s="456" t="n"/>
      <c r="R6" s="421" t="inlineStr">
        <is>
          <t>м2</t>
        </is>
      </c>
      <c r="S6" s="421" t="n"/>
      <c r="T6" s="421" t="n"/>
      <c r="U6" s="487" t="inlineStr">
        <is>
          <t>СВ-1.5</t>
        </is>
      </c>
      <c r="V6" s="421" t="n"/>
      <c r="W6" s="515" t="n">
        <v>10</v>
      </c>
      <c r="X6" s="421" t="n">
        <v>0</v>
      </c>
      <c r="Y6" s="421" t="n">
        <v>0</v>
      </c>
      <c r="Z6" s="421" t="n">
        <v>0</v>
      </c>
      <c r="AA6" s="421" t="n">
        <v>0</v>
      </c>
      <c r="AB6" s="421" t="n">
        <v>0</v>
      </c>
      <c r="AC6" s="421" t="n">
        <v>0</v>
      </c>
      <c r="AD6" s="421" t="n">
        <v>0</v>
      </c>
      <c r="AE6" s="421" t="n">
        <v>0</v>
      </c>
      <c r="AF6" s="421" t="n">
        <v>0</v>
      </c>
      <c r="AG6" s="421" t="n">
        <v>0</v>
      </c>
      <c r="AH6" s="421" t="n">
        <v>0</v>
      </c>
      <c r="AI6" s="421" t="n">
        <v>0</v>
      </c>
      <c r="AJ6" s="421" t="n">
        <v>0</v>
      </c>
      <c r="AK6" s="421" t="n">
        <v>0</v>
      </c>
      <c r="AL6" s="452" t="n"/>
      <c r="AM6" s="452" t="n"/>
      <c r="AN6" s="452" t="n"/>
    </row>
    <row r="7" hidden="1" s="1227">
      <c r="A7" s="421" t="inlineStr">
        <is>
          <t>мат.</t>
        </is>
      </c>
      <c r="B7" s="421" t="inlineStr">
        <is>
          <t>13АВ-РД-АР1.1-К5</t>
        </is>
      </c>
      <c r="C7" s="453" t="n">
        <v>45846</v>
      </c>
      <c r="D7" s="421" t="inlineStr">
        <is>
          <t>Кладка</t>
        </is>
      </c>
      <c r="E7" s="421" t="n"/>
      <c r="F7" s="487" t="inlineStr">
        <is>
          <t>Внутренние стены D600 100 мм</t>
        </is>
      </c>
      <c r="G7" s="421" t="n">
        <v>5</v>
      </c>
      <c r="H7" s="421" t="n"/>
      <c r="I7" s="421" t="n"/>
      <c r="J7" s="514" t="n"/>
      <c r="K7" s="537" t="n"/>
      <c r="L7" s="421" t="n"/>
      <c r="M7" s="421" t="n"/>
      <c r="N7" s="421" t="n"/>
      <c r="O7" s="421" t="n"/>
      <c r="P7" s="421" t="n"/>
      <c r="Q7" s="456" t="n"/>
      <c r="R7" s="421" t="n"/>
      <c r="S7" s="421" t="n"/>
      <c r="T7" s="421" t="n"/>
      <c r="U7" s="487" t="n"/>
      <c r="V7" s="421" t="n"/>
      <c r="W7" s="421" t="n"/>
      <c r="X7" s="421" t="n"/>
      <c r="Y7" s="421" t="n"/>
      <c r="Z7" s="421" t="n"/>
      <c r="AA7" s="421" t="n"/>
      <c r="AB7" s="421" t="n"/>
      <c r="AC7" s="421" t="n"/>
      <c r="AD7" s="421" t="n"/>
      <c r="AE7" s="421" t="n"/>
      <c r="AF7" s="421" t="n"/>
      <c r="AG7" s="421" t="n"/>
      <c r="AH7" s="421" t="n"/>
      <c r="AI7" s="421" t="n"/>
      <c r="AJ7" s="421" t="n"/>
      <c r="AK7" s="421" t="n"/>
      <c r="AL7" s="452" t="n"/>
      <c r="AM7" s="452" t="n"/>
      <c r="AN7" s="452" t="n"/>
    </row>
    <row r="8" hidden="1" s="1227">
      <c r="A8" s="421" t="inlineStr">
        <is>
          <t>мат.</t>
        </is>
      </c>
      <c r="B8" s="421" t="inlineStr">
        <is>
          <t>13АВ-РД-АР1.1-К5</t>
        </is>
      </c>
      <c r="C8" s="453" t="n">
        <v>45846</v>
      </c>
      <c r="D8" s="421" t="inlineStr">
        <is>
          <t>Кладка</t>
        </is>
      </c>
      <c r="E8" s="421" t="n"/>
      <c r="F8" s="487" t="inlineStr">
        <is>
          <t>Внутренние стены D600 100 мм</t>
        </is>
      </c>
      <c r="G8" s="421" t="n">
        <v>5</v>
      </c>
      <c r="H8" s="421" t="n"/>
      <c r="I8" s="421" t="n"/>
      <c r="J8" s="514" t="n"/>
      <c r="K8" s="454" t="n"/>
      <c r="L8" s="421" t="n"/>
      <c r="M8" s="421" t="n"/>
      <c r="N8" s="421" t="n"/>
      <c r="O8" s="421" t="n"/>
      <c r="P8" s="421" t="n"/>
      <c r="Q8" s="456" t="n">
        <v>743.9</v>
      </c>
      <c r="R8" s="421" t="n"/>
      <c r="S8" s="421" t="n"/>
      <c r="T8" s="421" t="n"/>
      <c r="U8" s="487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52" t="n"/>
      <c r="AM8" s="452" t="n"/>
      <c r="AN8" s="452" t="n"/>
    </row>
    <row r="9" hidden="1" s="1227">
      <c r="A9" s="421" t="inlineStr">
        <is>
          <t>мат.</t>
        </is>
      </c>
      <c r="B9" s="421" t="inlineStr">
        <is>
          <t>13АВ-РД-АР1.1-К5</t>
        </is>
      </c>
      <c r="C9" s="453" t="n">
        <v>45846</v>
      </c>
      <c r="D9" s="421" t="inlineStr">
        <is>
          <t>Кладка</t>
        </is>
      </c>
      <c r="E9" s="421" t="n"/>
      <c r="F9" s="487" t="inlineStr">
        <is>
          <t>Внутренние стены D600 100 мм</t>
        </is>
      </c>
      <c r="G9" s="421" t="n">
        <v>5</v>
      </c>
      <c r="H9" s="421" t="n"/>
      <c r="I9" s="421" t="n"/>
      <c r="J9" s="514" t="n"/>
      <c r="K9" s="454" t="n"/>
      <c r="L9" s="421" t="n"/>
      <c r="M9" s="538" t="n"/>
      <c r="N9" s="540" t="n"/>
      <c r="O9" s="540" t="n"/>
      <c r="P9" s="540" t="n"/>
      <c r="Q9" s="540" t="n"/>
      <c r="R9" s="538" t="n"/>
      <c r="S9" s="540" t="n"/>
      <c r="T9" s="540" t="n"/>
      <c r="U9" s="487" t="n"/>
      <c r="V9" s="421" t="n"/>
      <c r="W9" s="292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52" t="n"/>
      <c r="AM9" s="452" t="n"/>
      <c r="AN9" s="452" t="n"/>
    </row>
    <row r="10" hidden="1" s="1227">
      <c r="A10" s="421" t="inlineStr">
        <is>
          <t>мат.</t>
        </is>
      </c>
      <c r="B10" s="421" t="inlineStr">
        <is>
          <t>13АВ-РД-АР1.1-К5</t>
        </is>
      </c>
      <c r="C10" s="453" t="n">
        <v>45846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Внутренние стены D600 250 мм</t>
        </is>
      </c>
      <c r="G10" s="421" t="n">
        <v>5</v>
      </c>
      <c r="H10" s="421" t="n"/>
      <c r="I10" s="421" t="n"/>
      <c r="J10" s="514" t="n"/>
      <c r="K10" s="454" t="inlineStr">
        <is>
          <t>СВ-1.1 Внутренняя стена из газобетонных блоков, толщиной 250мм, D600 на клеевом растворе М100</t>
        </is>
      </c>
      <c r="L10" s="421" t="n"/>
      <c r="M10" s="421" t="n"/>
      <c r="N10" s="421" t="n"/>
      <c r="O10" s="421" t="n"/>
      <c r="P10" s="421" t="n"/>
      <c r="Q10" s="456" t="n"/>
      <c r="R10" s="538" t="n"/>
      <c r="S10" s="421" t="n"/>
      <c r="T10" s="421" t="n"/>
      <c r="U10" s="487" t="inlineStr">
        <is>
          <t>Виброзащита подушки под стену СВ-1.1</t>
        </is>
      </c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52" t="n"/>
      <c r="AM10" s="452" t="n"/>
      <c r="AN10" s="452" t="n"/>
    </row>
    <row r="11">
      <c r="A11" s="421" t="inlineStr">
        <is>
          <t>мат.</t>
        </is>
      </c>
      <c r="B11" s="421" t="inlineStr">
        <is>
          <t>13АВ-РД-АР1.1-К5</t>
        </is>
      </c>
      <c r="C11" s="453" t="n">
        <v>45846</v>
      </c>
      <c r="D11" s="421" t="inlineStr">
        <is>
          <t>Кладка</t>
        </is>
      </c>
      <c r="E11" s="421" t="n"/>
      <c r="F11" s="487" t="inlineStr">
        <is>
          <t>Внутренние стены D600 250 мм</t>
        </is>
      </c>
      <c r="G11" s="421" t="n">
        <v>5</v>
      </c>
      <c r="H11" s="421" t="n"/>
      <c r="I11" s="421" t="n"/>
      <c r="J11" s="514" t="n"/>
      <c r="K11" s="454" t="inlineStr">
        <is>
          <t>Лента вибродемпфирующая СтопЗвук V 150х4</t>
        </is>
      </c>
      <c r="L11" s="381" t="n"/>
      <c r="M11" s="421" t="n"/>
      <c r="N11" s="421">
        <f>SUM(W11:AN11)</f>
        <v/>
      </c>
      <c r="O11" s="421" t="n"/>
      <c r="P11" s="421" t="n"/>
      <c r="Q11" s="456" t="n"/>
      <c r="R11" s="421" t="inlineStr">
        <is>
          <t>м.п</t>
        </is>
      </c>
      <c r="S11" s="421" t="n"/>
      <c r="T11" s="421" t="n"/>
      <c r="U11" s="487" t="n"/>
      <c r="V11" s="421" t="n"/>
      <c r="W11" s="421">
        <f>2*35.115</f>
        <v/>
      </c>
      <c r="X11" s="421" t="n">
        <v>0</v>
      </c>
      <c r="Y11" s="421" t="n">
        <v>0</v>
      </c>
      <c r="Z11" s="421" t="n">
        <v>0</v>
      </c>
      <c r="AA11" s="421" t="n">
        <v>0</v>
      </c>
      <c r="AB11" s="421" t="n">
        <v>0</v>
      </c>
      <c r="AC11" s="421" t="n">
        <v>0</v>
      </c>
      <c r="AD11" s="421" t="n">
        <v>0</v>
      </c>
      <c r="AE11" s="421" t="n">
        <v>0</v>
      </c>
      <c r="AF11" s="421" t="n">
        <v>0</v>
      </c>
      <c r="AG11" s="421" t="n">
        <v>0</v>
      </c>
      <c r="AH11" s="421" t="n">
        <v>0</v>
      </c>
      <c r="AI11" s="421" t="n">
        <v>0</v>
      </c>
      <c r="AJ11" s="421" t="n">
        <v>0</v>
      </c>
      <c r="AK11" s="421" t="n">
        <v>0</v>
      </c>
      <c r="AL11" s="452" t="n"/>
      <c r="AM11" s="452" t="n"/>
      <c r="AN11" s="452" t="n"/>
    </row>
    <row r="12" hidden="1" s="1227">
      <c r="A12" s="421" t="inlineStr">
        <is>
          <t>мат.</t>
        </is>
      </c>
      <c r="B12" s="421" t="inlineStr">
        <is>
          <t>13АВ-РД-АР1.1-К5</t>
        </is>
      </c>
      <c r="C12" s="453" t="n">
        <v>45846</v>
      </c>
      <c r="D12" s="421" t="inlineStr">
        <is>
          <t>Кладка</t>
        </is>
      </c>
      <c r="E12" s="421" t="n"/>
      <c r="F12" s="487" t="inlineStr">
        <is>
          <t>Внутренние стены D600 250 мм</t>
        </is>
      </c>
      <c r="G12" s="421" t="n">
        <v>5</v>
      </c>
      <c r="H12" s="421" t="n"/>
      <c r="I12" s="421" t="n"/>
      <c r="J12" s="514" t="n"/>
      <c r="K12" s="541" t="inlineStr">
        <is>
          <t>Герметик виброакустический Сонетик (Sonetik) Силикон</t>
        </is>
      </c>
      <c r="L12" s="381" t="n"/>
      <c r="M12" s="421" t="n"/>
      <c r="N12" s="421" t="n"/>
      <c r="O12" s="421" t="n"/>
      <c r="P12" s="421" t="n"/>
      <c r="Q12" s="456" t="n"/>
      <c r="R12" s="538" t="inlineStr">
        <is>
          <t>кг</t>
        </is>
      </c>
      <c r="S12" s="421" t="n"/>
      <c r="T12" s="421" t="n"/>
      <c r="U12" s="487" t="n"/>
      <c r="V12" s="421" t="n"/>
      <c r="W12" s="292" t="n"/>
      <c r="X12" s="421" t="n"/>
      <c r="Y12" s="421" t="n"/>
      <c r="Z12" s="421" t="n"/>
      <c r="AA12" s="421" t="n"/>
      <c r="AB12" s="421" t="n"/>
      <c r="AC12" s="421" t="n"/>
      <c r="AD12" s="421" t="n"/>
      <c r="AE12" s="421" t="n"/>
      <c r="AF12" s="421" t="n"/>
      <c r="AG12" s="421" t="n"/>
      <c r="AH12" s="421" t="n"/>
      <c r="AI12" s="421" t="n"/>
      <c r="AJ12" s="421" t="n"/>
      <c r="AK12" s="421" t="n"/>
      <c r="AL12" s="452" t="n"/>
      <c r="AM12" s="452" t="n"/>
      <c r="AN12" s="452" t="n"/>
    </row>
    <row r="13" hidden="1" s="1227">
      <c r="A13" s="421" t="inlineStr">
        <is>
          <t>мат.</t>
        </is>
      </c>
      <c r="B13" s="421" t="inlineStr">
        <is>
          <t>13АВ-РД-АР1.1-К5</t>
        </is>
      </c>
      <c r="C13" s="453" t="n">
        <v>45846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Внутренние стены D600 200 мм</t>
        </is>
      </c>
      <c r="G13" s="421" t="n">
        <v>5</v>
      </c>
      <c r="H13" s="421" t="n"/>
      <c r="I13" s="421" t="n"/>
      <c r="J13" s="514" t="n"/>
      <c r="K13" s="542" t="inlineStr">
        <is>
          <t>СВ-1.2 Внутренняя стена из газобетонных блоков, толщиной 200мм, D600 на клеевом растворе М100</t>
        </is>
      </c>
      <c r="L13" s="381" t="n"/>
      <c r="M13" s="538" t="n"/>
      <c r="N13" s="421" t="n"/>
      <c r="O13" s="421" t="n"/>
      <c r="P13" s="421" t="n"/>
      <c r="Q13" s="456" t="n"/>
      <c r="R13" s="421" t="n"/>
      <c r="S13" s="421" t="n"/>
      <c r="T13" s="421" t="n"/>
      <c r="U13" s="487" t="inlineStr">
        <is>
          <t>Виброзащита подушки под стену СВ-1.2</t>
        </is>
      </c>
      <c r="V13" s="421" t="n"/>
      <c r="W13" s="540" t="n"/>
      <c r="X13" s="540" t="n"/>
      <c r="Y13" s="540" t="n"/>
      <c r="Z13" s="540" t="n"/>
      <c r="AA13" s="540" t="n"/>
      <c r="AB13" s="540" t="n"/>
      <c r="AC13" s="540" t="n"/>
      <c r="AD13" s="540" t="n"/>
      <c r="AE13" s="540" t="n"/>
      <c r="AF13" s="540" t="n"/>
      <c r="AG13" s="540" t="n"/>
      <c r="AH13" s="540" t="n"/>
      <c r="AI13" s="540" t="n"/>
      <c r="AJ13" s="540" t="n"/>
      <c r="AK13" s="540" t="n"/>
    </row>
    <row r="14">
      <c r="A14" s="421" t="inlineStr">
        <is>
          <t>мат.</t>
        </is>
      </c>
      <c r="B14" s="421" t="inlineStr">
        <is>
          <t>13АВ-РД-АР1.1-К5</t>
        </is>
      </c>
      <c r="C14" s="453" t="n">
        <v>45846</v>
      </c>
      <c r="D14" s="421" t="inlineStr">
        <is>
          <t>Кладка</t>
        </is>
      </c>
      <c r="E14" s="421" t="n"/>
      <c r="F14" s="487" t="inlineStr">
        <is>
          <t>Внутренние стены D600 200 мм</t>
        </is>
      </c>
      <c r="G14" s="421" t="n">
        <v>5</v>
      </c>
      <c r="H14" s="421" t="n"/>
      <c r="I14" s="421" t="n"/>
      <c r="J14" s="514" t="n"/>
      <c r="K14" s="454" t="inlineStr">
        <is>
          <t>Лента вибродемпфирующая СтопЗвук V 150х4</t>
        </is>
      </c>
      <c r="L14" s="421" t="n"/>
      <c r="M14" s="452" t="n"/>
      <c r="N14" s="421">
        <f>SUM(W14:AN14)</f>
        <v/>
      </c>
      <c r="O14" s="421" t="n"/>
      <c r="P14" s="421" t="n"/>
      <c r="Q14" s="456" t="n"/>
      <c r="R14" s="421" t="inlineStr">
        <is>
          <t>м.п</t>
        </is>
      </c>
      <c r="S14" s="421" t="n"/>
      <c r="T14" s="421" t="n"/>
      <c r="U14" s="421" t="n"/>
      <c r="V14" s="421" t="n"/>
      <c r="W14" s="421">
        <f>2*22.87</f>
        <v/>
      </c>
      <c r="X14" s="421">
        <f>2*106.085</f>
        <v/>
      </c>
      <c r="Y14" s="421">
        <f>2*106.085</f>
        <v/>
      </c>
      <c r="Z14" s="421">
        <f>2*106.085</f>
        <v/>
      </c>
      <c r="AA14" s="421">
        <f>2*106.085</f>
        <v/>
      </c>
      <c r="AB14" s="421">
        <f>2*106.085</f>
        <v/>
      </c>
      <c r="AC14" s="421">
        <f>2*106.085</f>
        <v/>
      </c>
      <c r="AD14" s="421">
        <f>2*106.085</f>
        <v/>
      </c>
      <c r="AE14" s="421">
        <f>2*106.085</f>
        <v/>
      </c>
      <c r="AF14" s="421">
        <f>2*109.255</f>
        <v/>
      </c>
      <c r="AG14" s="421">
        <f>2*109.255</f>
        <v/>
      </c>
      <c r="AH14" s="421">
        <f>2*109.255</f>
        <v/>
      </c>
      <c r="AI14" s="421">
        <f>2*101.26</f>
        <v/>
      </c>
      <c r="AJ14" s="421">
        <f>2*103.824</f>
        <v/>
      </c>
      <c r="AK14" s="421">
        <f>2*54.31</f>
        <v/>
      </c>
      <c r="AL14" s="452" t="n"/>
      <c r="AM14" s="452" t="n"/>
      <c r="AN14" s="452" t="n"/>
    </row>
    <row r="15" hidden="1" s="1227">
      <c r="A15" s="421" t="inlineStr">
        <is>
          <t>мат.</t>
        </is>
      </c>
      <c r="B15" s="421" t="inlineStr">
        <is>
          <t>13АВ-РД-АР1.1-К5</t>
        </is>
      </c>
      <c r="C15" s="453" t="n">
        <v>45846</v>
      </c>
      <c r="D15" s="421" t="inlineStr">
        <is>
          <t>Кладка</t>
        </is>
      </c>
      <c r="E15" s="421" t="n"/>
      <c r="F15" s="487" t="inlineStr">
        <is>
          <t>Внутренние стены D600 200 мм</t>
        </is>
      </c>
      <c r="G15" s="421" t="n">
        <v>5</v>
      </c>
      <c r="H15" s="421" t="n"/>
      <c r="I15" s="421" t="n"/>
      <c r="J15" s="514" t="n"/>
      <c r="K15" s="541" t="inlineStr">
        <is>
          <t>Герметик виброакустический Сонетик (Sonetik) Силикон</t>
        </is>
      </c>
      <c r="L15" s="538" t="n"/>
      <c r="M15" s="538" t="n"/>
      <c r="N15" s="421" t="n"/>
      <c r="O15" s="421" t="n"/>
      <c r="P15" s="421" t="n"/>
      <c r="Q15" s="456" t="n"/>
      <c r="R15" s="538" t="inlineStr">
        <is>
          <t>кг</t>
        </is>
      </c>
      <c r="S15" s="421" t="n"/>
      <c r="T15" s="421" t="n"/>
      <c r="U15" s="487" t="n"/>
      <c r="V15" s="421" t="n"/>
      <c r="X15" s="421" t="n"/>
      <c r="Y15" s="421" t="n"/>
      <c r="Z15" s="421" t="n"/>
      <c r="AA15" s="421" t="n"/>
      <c r="AB15" s="421" t="n"/>
      <c r="AC15" s="421" t="n"/>
      <c r="AD15" s="421" t="n"/>
      <c r="AE15" s="421" t="n"/>
      <c r="AF15" s="421" t="n"/>
      <c r="AG15" s="421" t="n"/>
      <c r="AH15" s="421" t="n"/>
      <c r="AI15" s="421" t="n"/>
      <c r="AJ15" s="421" t="n"/>
      <c r="AK15" s="421" t="n"/>
      <c r="AL15" s="452" t="n"/>
      <c r="AM15" s="452" t="n"/>
      <c r="AN15" s="452" t="n"/>
    </row>
    <row r="16" hidden="1" s="1227">
      <c r="A16" s="421" t="inlineStr">
        <is>
          <t>мат.</t>
        </is>
      </c>
      <c r="B16" s="421" t="inlineStr">
        <is>
          <t>13АВ-РД-АР1.1-К5</t>
        </is>
      </c>
      <c r="C16" s="453" t="n">
        <v>45846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Внутренние стены D600 100 мм</t>
        </is>
      </c>
      <c r="G16" s="421" t="n">
        <v>5</v>
      </c>
      <c r="H16" s="421" t="n"/>
      <c r="I16" s="421" t="n"/>
      <c r="J16" s="514" t="n"/>
      <c r="K16" s="454" t="inlineStr">
        <is>
          <t>СВ-1.4(стены) Внутренняя стена из газобетонных блоков, толщиной 100мм, D600 на клеевом растворе М100</t>
        </is>
      </c>
      <c r="L16" s="381" t="n"/>
      <c r="M16" s="538" t="n"/>
      <c r="N16" s="421" t="n"/>
      <c r="O16" s="421" t="n"/>
      <c r="P16" s="421" t="n"/>
      <c r="Q16" s="456" t="n"/>
      <c r="R16" s="538" t="n"/>
      <c r="S16" s="421" t="n"/>
      <c r="T16" s="421" t="n"/>
      <c r="U16" s="487" t="inlineStr">
        <is>
          <t>Виброзащита подушки под стену СВ-1.4</t>
        </is>
      </c>
      <c r="V16" s="421" t="n"/>
      <c r="W16" s="421" t="n"/>
      <c r="X16" s="421" t="n"/>
      <c r="Y16" s="421" t="n"/>
      <c r="Z16" s="421" t="n"/>
      <c r="AA16" s="421" t="n"/>
      <c r="AB16" s="421" t="n"/>
      <c r="AC16" s="421" t="n"/>
      <c r="AD16" s="421" t="n"/>
      <c r="AE16" s="421" t="n"/>
      <c r="AF16" s="421" t="n"/>
      <c r="AG16" s="421" t="n"/>
      <c r="AH16" s="421" t="n"/>
      <c r="AI16" s="421" t="n"/>
      <c r="AJ16" s="421" t="n"/>
      <c r="AK16" s="421" t="n"/>
      <c r="AL16" s="452" t="n"/>
      <c r="AM16" s="452" t="n"/>
      <c r="AN16" s="452" t="n"/>
    </row>
    <row r="17">
      <c r="A17" s="421" t="inlineStr">
        <is>
          <t>мат.</t>
        </is>
      </c>
      <c r="B17" s="421" t="inlineStr">
        <is>
          <t>13АВ-РД-АР1.1-К5</t>
        </is>
      </c>
      <c r="C17" s="453" t="n">
        <v>45846</v>
      </c>
      <c r="D17" s="421" t="inlineStr">
        <is>
          <t>Кладка</t>
        </is>
      </c>
      <c r="E17" s="421" t="n"/>
      <c r="F17" s="487" t="inlineStr">
        <is>
          <t>Внутренние стены D600 100 мм</t>
        </is>
      </c>
      <c r="G17" s="421" t="n">
        <v>5</v>
      </c>
      <c r="H17" s="421" t="n"/>
      <c r="I17" s="421" t="n"/>
      <c r="J17" s="421" t="n"/>
      <c r="K17" s="454" t="inlineStr">
        <is>
          <t>Лента вибродемпфирующая СтопЗвук V 150х4</t>
        </is>
      </c>
      <c r="L17" s="421" t="n"/>
      <c r="M17" s="538" t="n"/>
      <c r="N17" s="421">
        <f>SUM(W17:AN17)</f>
        <v/>
      </c>
      <c r="O17" s="421" t="n"/>
      <c r="P17" s="421" t="n"/>
      <c r="Q17" s="456" t="n"/>
      <c r="R17" s="421" t="inlineStr">
        <is>
          <t>м.п</t>
        </is>
      </c>
      <c r="S17" s="421" t="n"/>
      <c r="T17" s="421" t="n"/>
      <c r="U17" s="487" t="n"/>
      <c r="V17" s="421" t="n"/>
      <c r="W17" s="421">
        <f>69.724</f>
        <v/>
      </c>
      <c r="X17" s="421" t="n">
        <v>0</v>
      </c>
      <c r="Y17" s="421" t="n">
        <v>0</v>
      </c>
      <c r="Z17" s="421" t="n">
        <v>0</v>
      </c>
      <c r="AA17" s="421" t="n">
        <v>0</v>
      </c>
      <c r="AB17" s="421" t="n">
        <v>0</v>
      </c>
      <c r="AC17" s="421" t="n">
        <v>0</v>
      </c>
      <c r="AD17" s="421" t="n">
        <v>0</v>
      </c>
      <c r="AE17" s="421" t="n">
        <v>0</v>
      </c>
      <c r="AF17" s="421" t="n">
        <v>0</v>
      </c>
      <c r="AG17" s="421" t="n">
        <v>0</v>
      </c>
      <c r="AH17" s="421" t="n">
        <v>0</v>
      </c>
      <c r="AI17" s="421" t="n">
        <v>0</v>
      </c>
      <c r="AJ17" s="421" t="n">
        <v>0</v>
      </c>
      <c r="AK17" s="421" t="n">
        <v>0</v>
      </c>
      <c r="AL17" s="452" t="n"/>
      <c r="AM17" s="452" t="n"/>
      <c r="AN17" s="452" t="n"/>
    </row>
    <row r="18" hidden="1" s="1227">
      <c r="A18" s="421" t="inlineStr">
        <is>
          <t>мат.</t>
        </is>
      </c>
      <c r="B18" s="421" t="inlineStr">
        <is>
          <t>13АВ-РД-АР1.1-К5</t>
        </is>
      </c>
      <c r="C18" s="453" t="n">
        <v>45846</v>
      </c>
      <c r="D18" s="421" t="inlineStr">
        <is>
          <t>Кладка</t>
        </is>
      </c>
      <c r="E18" s="421" t="n"/>
      <c r="F18" s="487" t="inlineStr">
        <is>
          <t>Внутренние стены D600 100 мм</t>
        </is>
      </c>
      <c r="G18" s="421" t="n">
        <v>5</v>
      </c>
      <c r="H18" s="421" t="n"/>
      <c r="I18" s="421" t="n"/>
      <c r="J18" s="421" t="n"/>
      <c r="K18" s="541" t="inlineStr">
        <is>
          <t>Герметик виброакустический Сонетик (Sonetik) Силикон</t>
        </is>
      </c>
      <c r="L18" s="421" t="n"/>
      <c r="M18" s="538" t="n"/>
      <c r="N18" s="421" t="n"/>
      <c r="O18" s="421" t="n"/>
      <c r="P18" s="421" t="n"/>
      <c r="Q18" s="456" t="n"/>
      <c r="R18" s="538" t="inlineStr">
        <is>
          <t>кг</t>
        </is>
      </c>
      <c r="S18" s="421" t="n"/>
      <c r="T18" s="421" t="n"/>
      <c r="U18" s="487" t="n"/>
      <c r="V18" s="421" t="n"/>
      <c r="W18" s="421" t="n"/>
      <c r="X18" s="421" t="n"/>
      <c r="Y18" s="421" t="n"/>
      <c r="Z18" s="421" t="n"/>
      <c r="AA18" s="421" t="n"/>
      <c r="AB18" s="421" t="n"/>
      <c r="AC18" s="421" t="n"/>
      <c r="AD18" s="421" t="n"/>
      <c r="AE18" s="421" t="n"/>
      <c r="AF18" s="421" t="n"/>
      <c r="AG18" s="421" t="n"/>
      <c r="AH18" s="421" t="n"/>
      <c r="AI18" s="421" t="n"/>
      <c r="AJ18" s="421" t="n"/>
      <c r="AK18" s="421" t="n"/>
      <c r="AL18" s="452" t="n"/>
      <c r="AM18" s="452" t="n"/>
      <c r="AN18" s="452" t="n"/>
    </row>
    <row r="19" hidden="1" s="1227">
      <c r="A19" s="421" t="inlineStr">
        <is>
          <t>мат.</t>
        </is>
      </c>
      <c r="B19" s="421" t="inlineStr">
        <is>
          <t>13АВ-РД-АР1.1-К5</t>
        </is>
      </c>
      <c r="C19" s="453" t="n">
        <v>45846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Внутренние стены D600 100 мм</t>
        </is>
      </c>
      <c r="G19" s="421" t="n">
        <v>5</v>
      </c>
      <c r="H19" s="421" t="n"/>
      <c r="I19" s="421" t="n"/>
      <c r="J19" s="421" t="n"/>
      <c r="K19" s="454" t="inlineStr">
        <is>
          <t>СВ-1.4 (Шахты) Внутренняя стена из газобетонных блоков, толщиной 100мм, D600 на клеевом растворе М100</t>
        </is>
      </c>
      <c r="L19" s="421" t="n"/>
      <c r="M19" s="538" t="n"/>
      <c r="N19" s="421" t="n"/>
      <c r="O19" s="421" t="n"/>
      <c r="P19" s="421" t="n"/>
      <c r="Q19" s="456" t="n"/>
      <c r="R19" s="421" t="n"/>
      <c r="S19" s="421" t="n"/>
      <c r="T19" s="421" t="n"/>
      <c r="U19" s="487" t="inlineStr">
        <is>
          <t>Виброзащита подушки под стену (шахта) СВ-1.4</t>
        </is>
      </c>
      <c r="V19" s="421" t="n"/>
      <c r="W19" s="421" t="n"/>
      <c r="X19" s="421" t="n"/>
      <c r="Y19" s="421" t="n"/>
      <c r="Z19" s="421" t="n"/>
      <c r="AA19" s="421" t="n"/>
      <c r="AB19" s="421" t="n"/>
      <c r="AC19" s="421" t="n"/>
      <c r="AD19" s="421" t="n"/>
      <c r="AE19" s="421" t="n"/>
      <c r="AF19" s="421" t="n"/>
      <c r="AG19" s="421" t="n"/>
      <c r="AH19" s="421" t="n"/>
      <c r="AI19" s="421" t="n"/>
      <c r="AJ19" s="421" t="n"/>
      <c r="AK19" s="421" t="n"/>
      <c r="AL19" s="452" t="n"/>
      <c r="AM19" s="452" t="n"/>
      <c r="AN19" s="452" t="n"/>
    </row>
    <row r="20">
      <c r="A20" s="421" t="inlineStr">
        <is>
          <t>мат.</t>
        </is>
      </c>
      <c r="B20" s="421" t="inlineStr">
        <is>
          <t>13АВ-РД-АР1.1-К5</t>
        </is>
      </c>
      <c r="C20" s="453" t="n">
        <v>45846</v>
      </c>
      <c r="D20" s="421" t="inlineStr">
        <is>
          <t>Кладка</t>
        </is>
      </c>
      <c r="E20" s="421" t="n"/>
      <c r="F20" s="487" t="inlineStr">
        <is>
          <t>Внутренние стены D600 100 мм</t>
        </is>
      </c>
      <c r="G20" s="421" t="n">
        <v>5</v>
      </c>
      <c r="H20" s="421" t="n"/>
      <c r="I20" s="421" t="n"/>
      <c r="J20" s="421" t="n"/>
      <c r="K20" s="454" t="inlineStr">
        <is>
          <t>Лента вибродемпфирующая СтопЗвук V 150х4</t>
        </is>
      </c>
      <c r="L20" s="421" t="n"/>
      <c r="M20" s="538" t="n"/>
      <c r="N20" s="421">
        <f>SUM(W20:AN20)</f>
        <v/>
      </c>
      <c r="O20" s="421" t="n"/>
      <c r="P20" s="421" t="n"/>
      <c r="Q20" s="456" t="n"/>
      <c r="R20" s="421" t="inlineStr">
        <is>
          <t>м.п</t>
        </is>
      </c>
      <c r="S20" s="421" t="n"/>
      <c r="T20" s="421" t="n"/>
      <c r="U20" s="487" t="n"/>
      <c r="V20" s="421" t="n"/>
      <c r="W20" s="421" t="n">
        <v>17.174</v>
      </c>
      <c r="X20" s="421" t="n">
        <v>9.298999999999999</v>
      </c>
      <c r="Y20" s="421" t="n">
        <v>9.353</v>
      </c>
      <c r="Z20" s="421" t="n">
        <v>9.31</v>
      </c>
      <c r="AA20" s="421" t="n">
        <v>9.31</v>
      </c>
      <c r="AB20" s="421" t="n">
        <v>9.31</v>
      </c>
      <c r="AC20" s="421" t="n">
        <v>9.31</v>
      </c>
      <c r="AD20" s="421" t="n">
        <v>9.31</v>
      </c>
      <c r="AE20" s="421" t="n">
        <v>9.31</v>
      </c>
      <c r="AF20" s="421" t="n">
        <v>9.41</v>
      </c>
      <c r="AG20" s="421" t="n">
        <v>9.41</v>
      </c>
      <c r="AH20" s="421" t="n">
        <v>9.41</v>
      </c>
      <c r="AI20" s="421" t="n">
        <v>9.31</v>
      </c>
      <c r="AJ20" s="421" t="n">
        <v>9.359999999999999</v>
      </c>
      <c r="AK20" s="421" t="n">
        <v>6.753</v>
      </c>
      <c r="AL20" s="452" t="n"/>
      <c r="AM20" s="452" t="n"/>
      <c r="AN20" s="452" t="n"/>
    </row>
    <row r="21" hidden="1" s="1227">
      <c r="A21" s="421" t="inlineStr">
        <is>
          <t>мат.</t>
        </is>
      </c>
      <c r="B21" s="421" t="inlineStr">
        <is>
          <t>13АВ-РД-АР1.1-К5</t>
        </is>
      </c>
      <c r="C21" s="453" t="n">
        <v>45846</v>
      </c>
      <c r="D21" s="421" t="inlineStr">
        <is>
          <t>Кладка</t>
        </is>
      </c>
      <c r="E21" s="421" t="n"/>
      <c r="F21" s="487" t="inlineStr">
        <is>
          <t>Внутренние стены D600 100 мм</t>
        </is>
      </c>
      <c r="G21" s="421" t="n">
        <v>5</v>
      </c>
      <c r="H21" s="421" t="n"/>
      <c r="I21" s="421" t="n"/>
      <c r="J21" s="421" t="n"/>
      <c r="K21" s="541" t="inlineStr">
        <is>
          <t>Герметик виброакустический Сонетик (Sonetik) Силикон</t>
        </is>
      </c>
      <c r="L21" s="381" t="n"/>
      <c r="M21" s="538" t="n"/>
      <c r="N21" s="421" t="n"/>
      <c r="O21" s="421" t="n"/>
      <c r="P21" s="421" t="n"/>
      <c r="Q21" s="456" t="n"/>
      <c r="R21" s="538" t="inlineStr">
        <is>
          <t>кг</t>
        </is>
      </c>
      <c r="S21" s="421" t="n"/>
      <c r="T21" s="421" t="n"/>
      <c r="U21" s="487" t="n"/>
      <c r="V21" s="421" t="n"/>
      <c r="W21" s="421" t="n"/>
      <c r="X21" s="421" t="n"/>
      <c r="Y21" s="421" t="n"/>
      <c r="Z21" s="421" t="n"/>
      <c r="AA21" s="421" t="n"/>
      <c r="AB21" s="421" t="n"/>
      <c r="AC21" s="421" t="n"/>
      <c r="AD21" s="421" t="n"/>
      <c r="AE21" s="421" t="n"/>
      <c r="AF21" s="421" t="n"/>
      <c r="AG21" s="421" t="n"/>
      <c r="AH21" s="421" t="n"/>
      <c r="AI21" s="421" t="n"/>
      <c r="AJ21" s="421" t="n"/>
      <c r="AK21" s="421" t="n"/>
      <c r="AL21" s="452" t="n"/>
      <c r="AM21" s="452" t="n"/>
      <c r="AN21" s="452" t="n"/>
    </row>
    <row r="22" hidden="1" s="1227">
      <c r="A22" s="421" t="inlineStr">
        <is>
          <t>мат.</t>
        </is>
      </c>
      <c r="B22" s="421" t="inlineStr">
        <is>
          <t>13АВ-РД-АР1.1-К5</t>
        </is>
      </c>
      <c r="C22" s="453" t="n">
        <v>45846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Внутренние стены D600 100 мм</t>
        </is>
      </c>
      <c r="G22" s="421" t="n">
        <v>5</v>
      </c>
      <c r="H22" s="421" t="n"/>
      <c r="I22" s="421" t="n"/>
      <c r="J22" s="292" t="n"/>
      <c r="K22" s="454" t="inlineStr">
        <is>
          <t>СВ-1.5 Внутренняя стена из газобетонных блоков, толщиной 100мм, D600 на клеевом растворе М100 на высоту 620 мм от ур. ж/б плиты</t>
        </is>
      </c>
      <c r="L22" s="381" t="n"/>
      <c r="M22" s="421" t="n"/>
      <c r="N22" s="421" t="n"/>
      <c r="O22" s="421" t="n"/>
      <c r="P22" s="421" t="n"/>
      <c r="Q22" s="456" t="n"/>
      <c r="R22" s="538" t="n"/>
      <c r="S22" s="421" t="n"/>
      <c r="T22" s="421" t="n"/>
      <c r="U22" s="487" t="inlineStr">
        <is>
          <t>Виброзащита подушки под стену СВ-1.5</t>
        </is>
      </c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52" t="n"/>
      <c r="AM22" s="452" t="n"/>
      <c r="AN22" s="452" t="n"/>
    </row>
    <row r="23">
      <c r="A23" s="421" t="inlineStr">
        <is>
          <t>мат.</t>
        </is>
      </c>
      <c r="B23" s="421" t="inlineStr">
        <is>
          <t>13АВ-РД-АР1.1-К5</t>
        </is>
      </c>
      <c r="C23" s="453" t="n">
        <v>45846</v>
      </c>
      <c r="D23" s="421" t="inlineStr">
        <is>
          <t>Кладка</t>
        </is>
      </c>
      <c r="E23" s="421" t="n"/>
      <c r="F23" s="487" t="inlineStr">
        <is>
          <t>Внутренние стены D600 100 мм</t>
        </is>
      </c>
      <c r="G23" s="421" t="n">
        <v>5</v>
      </c>
      <c r="H23" s="421" t="n"/>
      <c r="I23" s="421" t="n"/>
      <c r="J23" s="421" t="n"/>
      <c r="K23" s="454" t="inlineStr">
        <is>
          <t>Лента вибродемпфирующая СтопЗвук V 150х4</t>
        </is>
      </c>
      <c r="L23" s="421" t="n"/>
      <c r="M23" s="421" t="n"/>
      <c r="N23" s="421">
        <f>SUM(W23:AN23)</f>
        <v/>
      </c>
      <c r="O23" s="421" t="n"/>
      <c r="P23" s="421" t="n"/>
      <c r="Q23" s="456" t="n"/>
      <c r="R23" s="421" t="inlineStr">
        <is>
          <t>м.п</t>
        </is>
      </c>
      <c r="S23" s="421" t="n"/>
      <c r="T23" s="421" t="n"/>
      <c r="U23" s="487" t="n"/>
      <c r="V23" s="421" t="n"/>
      <c r="W23" s="421" t="n">
        <v>20.2</v>
      </c>
      <c r="X23" s="421" t="n"/>
      <c r="Y23" s="421" t="n"/>
      <c r="Z23" s="421" t="n"/>
      <c r="AA23" s="421" t="n"/>
      <c r="AB23" s="421" t="n"/>
      <c r="AC23" s="421" t="n"/>
      <c r="AD23" s="421" t="n"/>
      <c r="AE23" s="421" t="n"/>
      <c r="AF23" s="421" t="n"/>
      <c r="AG23" s="421" t="n"/>
      <c r="AH23" s="421" t="n"/>
      <c r="AI23" s="421" t="n"/>
      <c r="AJ23" s="421" t="n"/>
      <c r="AK23" s="421" t="n"/>
      <c r="AL23" s="452" t="n"/>
      <c r="AM23" s="452" t="n"/>
      <c r="AN23" s="452" t="n"/>
    </row>
    <row r="24" hidden="1" s="1227">
      <c r="A24" s="421" t="inlineStr">
        <is>
          <t>мат.</t>
        </is>
      </c>
      <c r="B24" s="421" t="inlineStr">
        <is>
          <t>13АВ-РД-АР1.1-К5</t>
        </is>
      </c>
      <c r="C24" s="453" t="n">
        <v>45846</v>
      </c>
      <c r="D24" s="421" t="inlineStr">
        <is>
          <t>Кладка</t>
        </is>
      </c>
      <c r="E24" s="421" t="n"/>
      <c r="F24" s="487" t="inlineStr">
        <is>
          <t>Внутренние стены D600 100 мм</t>
        </is>
      </c>
      <c r="G24" s="421" t="n">
        <v>5</v>
      </c>
      <c r="H24" s="421" t="n"/>
      <c r="I24" s="421" t="n"/>
      <c r="J24" s="514" t="n"/>
      <c r="K24" s="541" t="inlineStr">
        <is>
          <t>Герметик виброакустический Сонетик (Sonetik) Силикон</t>
        </is>
      </c>
      <c r="L24" s="381" t="n"/>
      <c r="M24" s="538" t="n"/>
      <c r="N24" s="421" t="n"/>
      <c r="O24" s="421" t="n"/>
      <c r="P24" s="421" t="n"/>
      <c r="Q24" s="456" t="n"/>
      <c r="R24" s="538" t="inlineStr">
        <is>
          <t>кг</t>
        </is>
      </c>
      <c r="S24" s="421" t="n"/>
      <c r="T24" s="421" t="n"/>
      <c r="U24" s="487" t="n"/>
      <c r="V24" s="421" t="n"/>
      <c r="W24" s="421" t="n"/>
      <c r="X24" s="421" t="n"/>
      <c r="Y24" s="421" t="n"/>
      <c r="Z24" s="421" t="n"/>
      <c r="AA24" s="421" t="n"/>
      <c r="AB24" s="421" t="n"/>
      <c r="AC24" s="421" t="n"/>
      <c r="AD24" s="421" t="n"/>
      <c r="AE24" s="421" t="n"/>
      <c r="AF24" s="421" t="n"/>
      <c r="AG24" s="421" t="n"/>
      <c r="AH24" s="421" t="n"/>
      <c r="AI24" s="421" t="n"/>
      <c r="AJ24" s="421" t="n"/>
      <c r="AK24" s="421" t="n"/>
      <c r="AL24" s="452" t="n"/>
      <c r="AM24" s="452" t="n"/>
      <c r="AN24" s="452" t="n"/>
    </row>
    <row r="25" hidden="1" s="1227">
      <c r="A25" s="421" t="inlineStr">
        <is>
          <t>мат.</t>
        </is>
      </c>
      <c r="B25" s="421" t="inlineStr">
        <is>
          <t>13АВ-РД-АР1.1-К5</t>
        </is>
      </c>
      <c r="C25" s="453" t="n">
        <v>45846</v>
      </c>
      <c r="D25" s="421" t="inlineStr">
        <is>
          <t>Кладка</t>
        </is>
      </c>
      <c r="E25" s="421" t="inlineStr">
        <is>
          <t>БАЗА</t>
        </is>
      </c>
      <c r="F25" s="487" t="inlineStr">
        <is>
          <t>Перегородка из бетонных камней толщиной 190мм</t>
        </is>
      </c>
      <c r="G25" s="421" t="n">
        <v>5</v>
      </c>
      <c r="H25" s="421" t="n"/>
      <c r="I25" s="421" t="n"/>
      <c r="J25" s="514" t="n"/>
      <c r="K25" s="454" t="inlineStr">
        <is>
          <t>СВ-3.1 Перегородка из бетонный камней, полнотелый, толщиной 190мм</t>
        </is>
      </c>
      <c r="L25" s="381" t="n"/>
      <c r="M25" s="538" t="n"/>
      <c r="N25" s="421" t="n"/>
      <c r="O25" s="421" t="n"/>
      <c r="P25" s="421" t="n"/>
      <c r="Q25" s="456" t="n"/>
      <c r="R25" s="421" t="n"/>
      <c r="S25" s="421" t="n"/>
      <c r="T25" s="421" t="n"/>
      <c r="U25" s="487" t="inlineStr">
        <is>
          <t>Виброзащита подушки под стену СВ-3.1</t>
        </is>
      </c>
      <c r="V25" s="421" t="n"/>
      <c r="W25" s="421" t="n"/>
      <c r="X25" s="456" t="n"/>
      <c r="Y25" s="456" t="n"/>
      <c r="Z25" s="456" t="n"/>
      <c r="AA25" s="456" t="n"/>
      <c r="AB25" s="456" t="n"/>
      <c r="AC25" s="456" t="n"/>
      <c r="AD25" s="456" t="n"/>
      <c r="AE25" s="456" t="n"/>
      <c r="AF25" s="456" t="n"/>
      <c r="AG25" s="456" t="n"/>
      <c r="AH25" s="456" t="n"/>
      <c r="AI25" s="456" t="n"/>
      <c r="AJ25" s="456" t="n"/>
      <c r="AK25" s="456" t="n"/>
      <c r="AL25" s="543" t="n"/>
      <c r="AM25" s="543" t="n"/>
      <c r="AN25" s="543" t="n"/>
    </row>
    <row r="26">
      <c r="A26" s="421" t="inlineStr">
        <is>
          <t>мат.</t>
        </is>
      </c>
      <c r="B26" s="421" t="inlineStr">
        <is>
          <t>13АВ-РД-АР1.1-К5</t>
        </is>
      </c>
      <c r="C26" s="453" t="n">
        <v>45846</v>
      </c>
      <c r="D26" s="421" t="inlineStr">
        <is>
          <t>Кладка</t>
        </is>
      </c>
      <c r="E26" s="421" t="n"/>
      <c r="F26" s="487" t="inlineStr">
        <is>
          <t>Перегородка из бетонных камней толщиной 190мм</t>
        </is>
      </c>
      <c r="G26" s="421" t="n">
        <v>5</v>
      </c>
      <c r="H26" s="421" t="n"/>
      <c r="I26" s="421" t="n"/>
      <c r="J26" s="292" t="n"/>
      <c r="K26" s="454" t="inlineStr">
        <is>
          <t>Лента вибродемпфирующая СтопЗвук V 150х4</t>
        </is>
      </c>
      <c r="L26" s="381" t="n"/>
      <c r="M26" s="538" t="n"/>
      <c r="N26" s="421">
        <f>SUM(W26:AN26)</f>
        <v/>
      </c>
      <c r="O26" s="421" t="n"/>
      <c r="P26" s="421" t="n"/>
      <c r="Q26" s="456" t="n"/>
      <c r="R26" s="421" t="inlineStr">
        <is>
          <t>м.п</t>
        </is>
      </c>
      <c r="S26" s="421" t="n"/>
      <c r="T26" s="421" t="n"/>
      <c r="U26" s="487" t="n"/>
      <c r="V26" s="421" t="n"/>
      <c r="W26" s="421">
        <f>2*10.48</f>
        <v/>
      </c>
      <c r="X26" s="515">
        <f>2*4.45</f>
        <v/>
      </c>
      <c r="Y26" s="515">
        <f>2*4.45</f>
        <v/>
      </c>
      <c r="Z26" s="515">
        <f>2*4.45</f>
        <v/>
      </c>
      <c r="AA26" s="515">
        <f>2*4.45</f>
        <v/>
      </c>
      <c r="AB26" s="515">
        <f>2*4.45</f>
        <v/>
      </c>
      <c r="AC26" s="515">
        <f>2*4.45</f>
        <v/>
      </c>
      <c r="AD26" s="515">
        <f>2*4.45</f>
        <v/>
      </c>
      <c r="AE26" s="515">
        <f>2*4.45</f>
        <v/>
      </c>
      <c r="AF26" s="515">
        <f>2*4.45</f>
        <v/>
      </c>
      <c r="AG26" s="515">
        <f>2*4.45</f>
        <v/>
      </c>
      <c r="AH26" s="515">
        <f>2*4.45</f>
        <v/>
      </c>
      <c r="AI26" s="515">
        <f>2*4.45</f>
        <v/>
      </c>
      <c r="AJ26" s="515">
        <f>2*4.45</f>
        <v/>
      </c>
      <c r="AK26" s="515">
        <f>2*4.45</f>
        <v/>
      </c>
      <c r="AL26" s="459" t="n"/>
      <c r="AM26" s="459" t="n"/>
      <c r="AN26" s="459" t="n"/>
    </row>
    <row r="27" hidden="1" s="1227">
      <c r="A27" s="421" t="inlineStr">
        <is>
          <t>мат.</t>
        </is>
      </c>
      <c r="B27" s="421" t="inlineStr">
        <is>
          <t>13АВ-РД-АР1.1-К5</t>
        </is>
      </c>
      <c r="C27" s="453" t="n">
        <v>45846</v>
      </c>
      <c r="D27" s="421" t="inlineStr">
        <is>
          <t>Кладка</t>
        </is>
      </c>
      <c r="E27" s="421" t="n"/>
      <c r="F27" s="487" t="inlineStr">
        <is>
          <t>Перегородка из бетонных камней толщиной 190мм</t>
        </is>
      </c>
      <c r="G27" s="421" t="n">
        <v>5</v>
      </c>
      <c r="H27" s="421" t="n"/>
      <c r="I27" s="421" t="n"/>
      <c r="J27" s="514" t="n"/>
      <c r="K27" s="541" t="inlineStr">
        <is>
          <t>Герметик виброакустический Сонетик (Sonetik) Силикон</t>
        </is>
      </c>
      <c r="L27" s="421" t="n"/>
      <c r="M27" s="421" t="n"/>
      <c r="N27" s="421" t="n"/>
      <c r="O27" s="421" t="n"/>
      <c r="P27" s="421" t="n"/>
      <c r="Q27" s="456" t="n"/>
      <c r="R27" s="538" t="inlineStr">
        <is>
          <t>кг</t>
        </is>
      </c>
      <c r="S27" s="421" t="n"/>
      <c r="T27" s="421" t="n"/>
      <c r="U27" s="487" t="n"/>
      <c r="V27" s="421" t="n"/>
      <c r="W27" s="421" t="n"/>
      <c r="X27" s="421" t="n"/>
      <c r="Y27" s="421" t="n"/>
      <c r="Z27" s="421" t="n"/>
      <c r="AA27" s="421" t="n"/>
      <c r="AB27" s="421" t="n"/>
      <c r="AC27" s="421" t="n"/>
      <c r="AD27" s="421" t="n"/>
      <c r="AE27" s="421" t="n"/>
      <c r="AF27" s="421" t="n"/>
      <c r="AG27" s="421" t="n"/>
      <c r="AH27" s="421" t="n"/>
      <c r="AI27" s="421" t="n"/>
      <c r="AJ27" s="421" t="n"/>
      <c r="AK27" s="421" t="n"/>
      <c r="AL27" s="452" t="n"/>
      <c r="AM27" s="452" t="n"/>
      <c r="AN27" s="452" t="n"/>
    </row>
    <row r="28" hidden="1" s="1227">
      <c r="A28" s="421" t="inlineStr">
        <is>
          <t>мат.</t>
        </is>
      </c>
      <c r="B28" s="421" t="inlineStr">
        <is>
          <t>13АВ-РД-АР1.1-К5</t>
        </is>
      </c>
      <c r="C28" s="453" t="n">
        <v>45846</v>
      </c>
      <c r="D28" s="421" t="inlineStr">
        <is>
          <t>Кладка</t>
        </is>
      </c>
      <c r="E28" s="421" t="inlineStr">
        <is>
          <t>БАЗА</t>
        </is>
      </c>
      <c r="F28" s="487" t="inlineStr">
        <is>
          <t>Перегородка из бетонных камней толщиной 80мм</t>
        </is>
      </c>
      <c r="G28" s="421" t="n">
        <v>5</v>
      </c>
      <c r="H28" s="421" t="n"/>
      <c r="I28" s="421" t="n"/>
      <c r="J28" s="514" t="n"/>
      <c r="K28" s="537" t="inlineStr">
        <is>
          <t>СВ-3.2 Перегородка из бетонный камней, полнотелый, толщиной 80мм</t>
        </is>
      </c>
      <c r="L28" s="381" t="n"/>
      <c r="M28" s="538" t="n"/>
      <c r="N28" s="421" t="n"/>
      <c r="O28" s="421" t="n"/>
      <c r="P28" s="421" t="n"/>
      <c r="Q28" s="456" t="n"/>
      <c r="R28" s="538" t="n"/>
      <c r="S28" s="421" t="n"/>
      <c r="T28" s="421" t="n"/>
      <c r="U28" s="487" t="inlineStr">
        <is>
          <t>Виброзащита подушки под стену СВ-3.2</t>
        </is>
      </c>
      <c r="V28" s="421" t="n"/>
      <c r="W28" s="421" t="n"/>
      <c r="X28" s="456" t="n"/>
      <c r="Y28" s="456" t="n"/>
      <c r="Z28" s="456" t="n"/>
      <c r="AA28" s="456" t="n"/>
      <c r="AB28" s="456" t="n"/>
      <c r="AC28" s="456" t="n"/>
      <c r="AD28" s="456" t="n"/>
      <c r="AE28" s="456" t="n"/>
      <c r="AF28" s="456" t="n"/>
      <c r="AG28" s="456" t="n"/>
      <c r="AH28" s="456" t="n"/>
      <c r="AI28" s="456" t="n"/>
      <c r="AJ28" s="456" t="n"/>
      <c r="AK28" s="456" t="n"/>
      <c r="AL28" s="543" t="n"/>
      <c r="AM28" s="543" t="n"/>
      <c r="AN28" s="543" t="n"/>
    </row>
    <row r="29">
      <c r="A29" s="421" t="inlineStr">
        <is>
          <t>мат.</t>
        </is>
      </c>
      <c r="B29" s="421" t="inlineStr">
        <is>
          <t>13АВ-РД-АР1.1-К5</t>
        </is>
      </c>
      <c r="C29" s="453" t="n">
        <v>45846</v>
      </c>
      <c r="D29" s="421" t="inlineStr">
        <is>
          <t>Кладка</t>
        </is>
      </c>
      <c r="E29" s="421" t="n"/>
      <c r="F29" s="487" t="inlineStr">
        <is>
          <t>Перегородка из бетонных камней толщиной 80мм</t>
        </is>
      </c>
      <c r="G29" s="421" t="n">
        <v>5</v>
      </c>
      <c r="H29" s="421" t="n"/>
      <c r="I29" s="421" t="n"/>
      <c r="J29" s="514" t="n"/>
      <c r="K29" s="454" t="inlineStr">
        <is>
          <t>Лента вибродемпфирующая СтопЗвук V 150х4</t>
        </is>
      </c>
      <c r="M29" s="421" t="n"/>
      <c r="N29" s="421">
        <f>SUM(W29:AN29)</f>
        <v/>
      </c>
      <c r="O29" s="421" t="n"/>
      <c r="P29" s="421" t="n"/>
      <c r="Q29" s="456" t="n"/>
      <c r="R29" s="421" t="inlineStr">
        <is>
          <t>м.п</t>
        </is>
      </c>
      <c r="S29" s="421" t="n"/>
      <c r="T29" s="421" t="n"/>
      <c r="U29" s="487" t="n"/>
      <c r="V29" s="421" t="n"/>
      <c r="W29" s="421" t="n">
        <v>6.325</v>
      </c>
      <c r="X29" s="515" t="n">
        <v>0</v>
      </c>
      <c r="Y29" s="421" t="n">
        <v>0</v>
      </c>
      <c r="Z29" s="421" t="n">
        <v>0</v>
      </c>
      <c r="AA29" s="421" t="n">
        <v>0</v>
      </c>
      <c r="AB29" s="421" t="n">
        <v>0</v>
      </c>
      <c r="AC29" s="421" t="n">
        <v>0</v>
      </c>
      <c r="AD29" s="421" t="n">
        <v>0</v>
      </c>
      <c r="AE29" s="421" t="n">
        <v>0</v>
      </c>
      <c r="AF29" s="421" t="n">
        <v>0</v>
      </c>
      <c r="AG29" s="421" t="n">
        <v>0</v>
      </c>
      <c r="AH29" s="421" t="n">
        <v>0</v>
      </c>
      <c r="AI29" s="515" t="n">
        <v>0</v>
      </c>
      <c r="AJ29" s="515" t="n">
        <v>0</v>
      </c>
      <c r="AK29" s="515" t="n">
        <v>0</v>
      </c>
      <c r="AL29" s="459" t="n"/>
      <c r="AM29" s="459" t="n"/>
      <c r="AN29" s="459" t="n"/>
    </row>
    <row r="30" hidden="1" s="1227">
      <c r="A30" s="421" t="inlineStr">
        <is>
          <t>мат.</t>
        </is>
      </c>
      <c r="B30" s="421" t="inlineStr">
        <is>
          <t>13АВ-РД-АР1.1-К5</t>
        </is>
      </c>
      <c r="C30" s="453" t="n">
        <v>45846</v>
      </c>
      <c r="D30" s="421" t="inlineStr">
        <is>
          <t>Кладка</t>
        </is>
      </c>
      <c r="E30" s="540" t="n"/>
      <c r="F30" s="487" t="inlineStr">
        <is>
          <t>Перегородка из бетонных камней толщиной 80мм</t>
        </is>
      </c>
      <c r="G30" s="421" t="n">
        <v>5</v>
      </c>
      <c r="H30" s="540" t="n"/>
      <c r="I30" s="540" t="n"/>
      <c r="J30" s="540" t="n"/>
      <c r="K30" s="541" t="inlineStr">
        <is>
          <t>Герметик виброакустический Сонетик (Sonetik) Силикон</t>
        </is>
      </c>
      <c r="L30" s="540" t="n"/>
      <c r="M30" s="540" t="n"/>
      <c r="N30" s="540" t="n"/>
      <c r="O30" s="540" t="n"/>
      <c r="P30" s="540" t="n"/>
      <c r="Q30" s="540" t="n"/>
      <c r="R30" s="538" t="inlineStr">
        <is>
          <t>кг</t>
        </is>
      </c>
      <c r="S30" s="540" t="n"/>
      <c r="T30" s="540" t="n"/>
      <c r="U30" s="540" t="n"/>
      <c r="V30" s="540" t="n"/>
      <c r="W30" s="540" t="n"/>
      <c r="X30" s="540" t="n"/>
      <c r="Y30" s="540" t="n"/>
      <c r="Z30" s="540" t="n"/>
      <c r="AA30" s="540" t="n"/>
      <c r="AB30" s="540" t="n"/>
      <c r="AC30" s="540" t="n"/>
      <c r="AD30" s="540" t="n"/>
      <c r="AE30" s="540" t="n"/>
      <c r="AF30" s="540" t="n"/>
      <c r="AG30" s="540" t="n"/>
      <c r="AH30" s="540" t="n"/>
      <c r="AI30" s="540" t="n"/>
      <c r="AJ30" s="540" t="n"/>
      <c r="AK30" s="540" t="n"/>
    </row>
    <row r="31" hidden="1" s="1227">
      <c r="A31" s="421" t="inlineStr">
        <is>
          <t>мат.</t>
        </is>
      </c>
      <c r="B31" s="421" t="inlineStr">
        <is>
          <t>13АВ-РД-АР1.1-К5</t>
        </is>
      </c>
      <c r="C31" s="453" t="n">
        <v>45846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Внутренние стены D600 300 мм</t>
        </is>
      </c>
      <c r="G31" s="421" t="n">
        <v>5</v>
      </c>
      <c r="H31" s="421" t="n"/>
      <c r="I31" s="421" t="n"/>
      <c r="J31" s="514" t="n"/>
      <c r="K31" s="454" t="inlineStr">
        <is>
          <t>СН-1.1 Наружная стена из газобетонных блоков, толщиной 300мм, D600 на клеевом растворе М100</t>
        </is>
      </c>
      <c r="L31" s="381" t="n"/>
      <c r="M31" s="540" t="n"/>
      <c r="N31" s="421" t="n"/>
      <c r="O31" s="421" t="n"/>
      <c r="P31" s="421" t="n"/>
      <c r="Q31" s="456" t="n"/>
      <c r="R31" s="421" t="n"/>
      <c r="S31" s="421" t="n"/>
      <c r="T31" s="421" t="n"/>
      <c r="U31" s="487" t="inlineStr">
        <is>
          <t>Виброзащита подушки под стену СН-1.1</t>
        </is>
      </c>
      <c r="V31" s="421" t="n"/>
      <c r="W31" s="421" t="n"/>
      <c r="X31" s="515" t="n"/>
      <c r="Y31" s="515" t="n"/>
      <c r="Z31" s="515" t="n"/>
      <c r="AA31" s="515" t="n"/>
      <c r="AB31" s="515" t="n"/>
      <c r="AC31" s="515" t="n"/>
      <c r="AD31" s="515" t="n"/>
      <c r="AE31" s="515" t="n"/>
      <c r="AF31" s="515" t="n"/>
      <c r="AG31" s="515" t="n"/>
      <c r="AH31" s="515" t="n"/>
      <c r="AI31" s="515" t="n"/>
      <c r="AJ31" s="515" t="n"/>
      <c r="AK31" s="515" t="n"/>
      <c r="AL31" s="459" t="n"/>
      <c r="AM31" s="459" t="n"/>
      <c r="AN31" s="459" t="n"/>
    </row>
    <row r="32">
      <c r="A32" s="421" t="inlineStr">
        <is>
          <t>мат.</t>
        </is>
      </c>
      <c r="B32" s="421" t="inlineStr">
        <is>
          <t>13АВ-РД-АР1.1-К5</t>
        </is>
      </c>
      <c r="C32" s="453" t="n">
        <v>45846</v>
      </c>
      <c r="D32" s="421" t="inlineStr">
        <is>
          <t>Кладка</t>
        </is>
      </c>
      <c r="E32" s="421" t="n"/>
      <c r="F32" s="487" t="inlineStr">
        <is>
          <t>Внутренние стены D600 300 мм</t>
        </is>
      </c>
      <c r="G32" s="421" t="n">
        <v>5</v>
      </c>
      <c r="H32" s="421" t="n"/>
      <c r="I32" s="421" t="n"/>
      <c r="J32" s="514" t="n"/>
      <c r="K32" s="454" t="inlineStr">
        <is>
          <t>Лента вибродемпфирующая СтопЗвук V 150х4</t>
        </is>
      </c>
      <c r="L32" s="381" t="n"/>
      <c r="M32" s="540" t="n"/>
      <c r="N32" s="421">
        <f>SUM(W32:AN32)</f>
        <v/>
      </c>
      <c r="O32" s="421" t="n"/>
      <c r="P32" s="421" t="n"/>
      <c r="Q32" s="456" t="n"/>
      <c r="R32" s="421" t="inlineStr">
        <is>
          <t>м.п</t>
        </is>
      </c>
      <c r="S32" s="421" t="n"/>
      <c r="T32" s="421" t="n"/>
      <c r="U32" s="487" t="n"/>
      <c r="V32" s="421" t="n"/>
      <c r="W32" s="421">
        <f>2*49.63</f>
        <v/>
      </c>
      <c r="X32" s="515" t="n">
        <v>0</v>
      </c>
      <c r="Y32" s="515" t="n">
        <v>0</v>
      </c>
      <c r="Z32" s="515" t="n">
        <v>0</v>
      </c>
      <c r="AA32" s="515" t="n">
        <v>0</v>
      </c>
      <c r="AB32" s="515" t="n">
        <v>0</v>
      </c>
      <c r="AC32" s="515" t="n">
        <v>0</v>
      </c>
      <c r="AD32" s="515" t="n">
        <v>0</v>
      </c>
      <c r="AE32" s="515" t="n">
        <v>0</v>
      </c>
      <c r="AF32" s="515" t="n">
        <v>0</v>
      </c>
      <c r="AG32" s="515" t="n">
        <v>0</v>
      </c>
      <c r="AH32" s="515" t="n">
        <v>0</v>
      </c>
      <c r="AI32" s="515" t="n">
        <v>0</v>
      </c>
      <c r="AJ32" s="515" t="n">
        <v>0</v>
      </c>
      <c r="AK32" s="515" t="n">
        <v>0</v>
      </c>
      <c r="AL32" s="459" t="n"/>
      <c r="AM32" s="459" t="n"/>
      <c r="AN32" s="459" t="n"/>
    </row>
    <row r="33" hidden="1" s="1227">
      <c r="A33" s="421" t="inlineStr">
        <is>
          <t>мат.</t>
        </is>
      </c>
      <c r="B33" s="421" t="inlineStr">
        <is>
          <t>13АВ-РД-АР1.1-К5</t>
        </is>
      </c>
      <c r="C33" s="453" t="n">
        <v>45846</v>
      </c>
      <c r="D33" s="421" t="inlineStr">
        <is>
          <t>Кладка</t>
        </is>
      </c>
      <c r="E33" s="421" t="n"/>
      <c r="F33" s="487" t="inlineStr">
        <is>
          <t>Внутренние стены D600 300 мм</t>
        </is>
      </c>
      <c r="G33" s="421" t="n">
        <v>5</v>
      </c>
      <c r="H33" s="421" t="n"/>
      <c r="I33" s="421" t="n"/>
      <c r="J33" s="514" t="n"/>
      <c r="K33" s="544" t="inlineStr">
        <is>
          <t>Герметик виброакустический Сонетик (Sonetik) Силикон</t>
        </is>
      </c>
      <c r="L33" s="421" t="n"/>
      <c r="M33" s="540" t="n"/>
      <c r="N33" s="421" t="n"/>
      <c r="O33" s="421" t="n"/>
      <c r="P33" s="421" t="n"/>
      <c r="Q33" s="456" t="n"/>
      <c r="R33" s="538" t="inlineStr">
        <is>
          <t>кг</t>
        </is>
      </c>
      <c r="S33" s="421" t="n"/>
      <c r="T33" s="421" t="n"/>
      <c r="U33" s="487" t="n"/>
      <c r="V33" s="421" t="n"/>
      <c r="W33" s="421" t="n"/>
      <c r="X33" s="515" t="n"/>
      <c r="Y33" s="515" t="n"/>
      <c r="Z33" s="515" t="n"/>
      <c r="AA33" s="515" t="n"/>
      <c r="AB33" s="515" t="n"/>
      <c r="AC33" s="515" t="n"/>
      <c r="AD33" s="515" t="n"/>
      <c r="AE33" s="515" t="n"/>
      <c r="AF33" s="515" t="n"/>
      <c r="AG33" s="515" t="n"/>
      <c r="AH33" s="515" t="n"/>
      <c r="AI33" s="515" t="n"/>
      <c r="AJ33" s="515" t="n"/>
      <c r="AK33" s="515" t="n"/>
      <c r="AL33" s="459" t="n"/>
      <c r="AM33" s="459" t="n"/>
      <c r="AN33" s="459" t="n"/>
    </row>
    <row r="34" hidden="1" s="1227">
      <c r="A34" s="421" t="inlineStr">
        <is>
          <t>мат.</t>
        </is>
      </c>
      <c r="B34" s="421" t="inlineStr">
        <is>
          <t>13АВ-РД-АР1.1-К5</t>
        </is>
      </c>
      <c r="C34" s="453" t="n">
        <v>45846</v>
      </c>
      <c r="D34" s="421" t="inlineStr">
        <is>
          <t>Кладка</t>
        </is>
      </c>
      <c r="E34" s="421" t="inlineStr">
        <is>
          <t>БАЗА</t>
        </is>
      </c>
      <c r="F34" s="487" t="inlineStr">
        <is>
          <t>Внутренние стены D600 250 мм</t>
        </is>
      </c>
      <c r="G34" s="421" t="n">
        <v>5</v>
      </c>
      <c r="H34" s="421" t="n"/>
      <c r="I34" s="421" t="n"/>
      <c r="J34" s="514" t="n"/>
      <c r="K34" s="537" t="inlineStr">
        <is>
          <t>СН-1.2 Перегородка из газобетонных блоков, толщиной 250мм, D600 на клеевом растворе М100</t>
        </is>
      </c>
      <c r="L34" s="421" t="n"/>
      <c r="M34" s="540" t="n"/>
      <c r="N34" s="421" t="n"/>
      <c r="O34" s="421" t="n"/>
      <c r="P34" s="421" t="n"/>
      <c r="Q34" s="456" t="n"/>
      <c r="R34" s="421" t="n"/>
      <c r="S34" s="421" t="n"/>
      <c r="T34" s="421" t="n"/>
      <c r="U34" s="487" t="inlineStr">
        <is>
          <t>Виброзащита подушки под стену СН-1.2</t>
        </is>
      </c>
      <c r="V34" s="421" t="n"/>
      <c r="W34" s="540" t="n"/>
      <c r="X34" s="540" t="n"/>
      <c r="Y34" s="540" t="n"/>
      <c r="Z34" s="540" t="n"/>
      <c r="AA34" s="540" t="n"/>
      <c r="AB34" s="540" t="n"/>
      <c r="AC34" s="540" t="n"/>
      <c r="AD34" s="540" t="n"/>
      <c r="AE34" s="540" t="n"/>
      <c r="AF34" s="540" t="n"/>
      <c r="AG34" s="540" t="n"/>
      <c r="AH34" s="540" t="n"/>
      <c r="AI34" s="540" t="n"/>
      <c r="AJ34" s="540" t="n"/>
      <c r="AK34" s="540" t="n"/>
    </row>
    <row r="35">
      <c r="A35" s="421" t="inlineStr">
        <is>
          <t>мат.</t>
        </is>
      </c>
      <c r="B35" s="421" t="inlineStr">
        <is>
          <t>13АВ-РД-АР1.1-К5</t>
        </is>
      </c>
      <c r="C35" s="453" t="n">
        <v>45846</v>
      </c>
      <c r="D35" s="421" t="inlineStr">
        <is>
          <t>Кладка</t>
        </is>
      </c>
      <c r="E35" s="421" t="n"/>
      <c r="F35" s="487" t="inlineStr">
        <is>
          <t>Внутренние стены D600 250 мм</t>
        </is>
      </c>
      <c r="G35" s="421" t="n">
        <v>5</v>
      </c>
      <c r="H35" s="421" t="n"/>
      <c r="I35" s="421" t="n"/>
      <c r="J35" s="514" t="n"/>
      <c r="K35" s="454" t="inlineStr">
        <is>
          <t>Лента вибродемпфирующая СтопЗвук V 150х4</t>
        </is>
      </c>
      <c r="L35" s="421" t="n"/>
      <c r="M35" s="540" t="n"/>
      <c r="N35" s="421">
        <f>SUM(W35:AN35)</f>
        <v/>
      </c>
      <c r="O35" s="421" t="n"/>
      <c r="P35" s="421" t="n"/>
      <c r="Q35" s="456" t="n"/>
      <c r="R35" s="421" t="inlineStr">
        <is>
          <t>м.п</t>
        </is>
      </c>
      <c r="S35" s="421" t="n"/>
      <c r="T35" s="421" t="n"/>
      <c r="U35" s="487" t="n"/>
      <c r="V35" s="421" t="n"/>
      <c r="W35" s="421">
        <f>2*26.06</f>
        <v/>
      </c>
      <c r="X35" s="421">
        <f>2*79.219</f>
        <v/>
      </c>
      <c r="Y35" s="421">
        <f>2*79.499</f>
        <v/>
      </c>
      <c r="Z35" s="421">
        <f>2*79.239</f>
        <v/>
      </c>
      <c r="AA35" s="421">
        <f>2*79.499</f>
        <v/>
      </c>
      <c r="AB35" s="421">
        <f>2*79.239</f>
        <v/>
      </c>
      <c r="AC35" s="421">
        <f>2*79.499</f>
        <v/>
      </c>
      <c r="AD35" s="421">
        <f>2*79.239</f>
        <v/>
      </c>
      <c r="AE35" s="421">
        <f>2*79.499</f>
        <v/>
      </c>
      <c r="AF35" s="421">
        <f>2*76.3</f>
        <v/>
      </c>
      <c r="AG35" s="421">
        <f>2*75.3</f>
        <v/>
      </c>
      <c r="AH35" s="421">
        <f>2*78.5</f>
        <v/>
      </c>
      <c r="AI35" s="421">
        <f>2*79.028</f>
        <v/>
      </c>
      <c r="AJ35" s="421">
        <f>2*78.72</f>
        <v/>
      </c>
      <c r="AK35" s="421">
        <f>2*50.91</f>
        <v/>
      </c>
      <c r="AL35" s="452" t="n"/>
      <c r="AM35" s="452" t="n"/>
      <c r="AN35" s="452" t="n"/>
    </row>
    <row r="36" hidden="1" s="1227">
      <c r="A36" s="421" t="inlineStr">
        <is>
          <t>мат.</t>
        </is>
      </c>
      <c r="B36" s="421" t="inlineStr">
        <is>
          <t>13АВ-РД-АР1.1-К5</t>
        </is>
      </c>
      <c r="C36" s="453" t="n">
        <v>45846</v>
      </c>
      <c r="D36" s="421" t="inlineStr">
        <is>
          <t>Кладка</t>
        </is>
      </c>
      <c r="E36" s="421" t="n"/>
      <c r="F36" s="487" t="inlineStr">
        <is>
          <t>Внутренние стены D600 250 мм</t>
        </is>
      </c>
      <c r="G36" s="421" t="n">
        <v>5</v>
      </c>
      <c r="H36" s="421" t="n"/>
      <c r="I36" s="421" t="n"/>
      <c r="J36" s="514" t="n"/>
      <c r="K36" s="544" t="inlineStr">
        <is>
          <t>Герметик виброакустический Сонетик (Sonetik) Силикон</t>
        </is>
      </c>
      <c r="L36" s="421" t="n"/>
      <c r="M36" s="540" t="n"/>
      <c r="N36" s="421" t="n"/>
      <c r="O36" s="421" t="n"/>
      <c r="P36" s="421" t="n"/>
      <c r="Q36" s="456" t="n"/>
      <c r="R36" s="421" t="inlineStr">
        <is>
          <t>кг</t>
        </is>
      </c>
      <c r="S36" s="421" t="n"/>
      <c r="T36" s="421" t="n"/>
      <c r="U36" s="487" t="n"/>
      <c r="V36" s="421" t="n"/>
      <c r="W36" s="421" t="n"/>
      <c r="X36" s="456" t="n"/>
      <c r="Y36" s="456" t="n"/>
      <c r="Z36" s="456" t="n"/>
      <c r="AA36" s="456" t="n"/>
      <c r="AB36" s="456" t="n"/>
      <c r="AC36" s="456" t="n"/>
      <c r="AD36" s="456" t="n"/>
      <c r="AE36" s="456" t="n"/>
      <c r="AF36" s="456" t="n"/>
      <c r="AG36" s="456" t="n"/>
      <c r="AH36" s="456" t="n"/>
      <c r="AI36" s="456" t="n"/>
      <c r="AJ36" s="456" t="n"/>
      <c r="AK36" s="456" t="n"/>
      <c r="AL36" s="456" t="n"/>
      <c r="AM36" s="456" t="n"/>
      <c r="AN36" s="456" t="n"/>
    </row>
    <row r="37" hidden="1" s="1227">
      <c r="A37" s="421" t="inlineStr">
        <is>
          <t>мат.</t>
        </is>
      </c>
      <c r="B37" s="421" t="inlineStr">
        <is>
          <t>13АВ-РД-АР1.1-К4</t>
        </is>
      </c>
      <c r="C37" s="453" t="n">
        <v>45846</v>
      </c>
      <c r="D37" s="421" t="inlineStr">
        <is>
          <t>Кладка</t>
        </is>
      </c>
      <c r="E37" s="545" t="n"/>
      <c r="F37" s="545" t="n"/>
      <c r="G37" s="545" t="n"/>
      <c r="H37" s="545" t="n"/>
      <c r="I37" s="545" t="n"/>
      <c r="J37" s="546" t="n"/>
      <c r="K37" s="469" t="n"/>
      <c r="L37" s="545" t="n"/>
      <c r="M37" s="548" t="n"/>
      <c r="N37" s="548" t="n"/>
      <c r="O37" s="548" t="n"/>
      <c r="P37" s="548" t="n"/>
      <c r="Q37" s="548" t="n"/>
      <c r="R37" s="548" t="n"/>
      <c r="S37" s="548" t="n"/>
      <c r="T37" s="548" t="n"/>
      <c r="U37" s="466" t="n"/>
      <c r="V37" s="548" t="n"/>
      <c r="W37" s="548" t="n"/>
      <c r="X37" s="545" t="n"/>
      <c r="Y37" s="545" t="n"/>
      <c r="Z37" s="545" t="n"/>
      <c r="AA37" s="545" t="n"/>
      <c r="AB37" s="545" t="n"/>
      <c r="AC37" s="545" t="n"/>
      <c r="AD37" s="545" t="n"/>
      <c r="AE37" s="545" t="n"/>
      <c r="AF37" s="545" t="n"/>
      <c r="AG37" s="545" t="n"/>
      <c r="AH37" s="545" t="n"/>
      <c r="AI37" s="545" t="n"/>
      <c r="AJ37" s="545" t="n"/>
      <c r="AK37" s="545" t="n"/>
      <c r="AL37" s="545" t="n"/>
      <c r="AM37" s="545" t="n"/>
      <c r="AN37" s="545" t="n"/>
    </row>
    <row r="38" hidden="1" s="1227">
      <c r="A38" s="421" t="inlineStr">
        <is>
          <t>мат.</t>
        </is>
      </c>
      <c r="B38" s="421" t="inlineStr">
        <is>
          <t>13АВ-РД-АР1.1-К4</t>
        </is>
      </c>
      <c r="C38" s="453" t="n">
        <v>45846</v>
      </c>
      <c r="D38" s="421" t="inlineStr">
        <is>
          <t>Кладка</t>
        </is>
      </c>
      <c r="E38" s="421" t="n"/>
      <c r="F38" s="421" t="n"/>
      <c r="G38" s="421" t="n"/>
      <c r="H38" s="421" t="n"/>
      <c r="I38" s="421" t="n"/>
      <c r="J38" s="421" t="n"/>
      <c r="K38" s="537" t="n"/>
      <c r="L38" s="421" t="n"/>
      <c r="M38" s="421" t="n"/>
      <c r="N38" s="421" t="n"/>
      <c r="O38" s="421" t="n"/>
      <c r="P38" s="421" t="n"/>
      <c r="Q38" s="456" t="n"/>
      <c r="R38" s="421" t="n"/>
      <c r="S38" s="421" t="n"/>
      <c r="T38" s="421" t="n"/>
      <c r="U38" s="487" t="n"/>
      <c r="V38" s="421" t="n"/>
      <c r="W38" s="421" t="n"/>
      <c r="X38" s="515" t="n"/>
      <c r="Y38" s="515" t="n"/>
      <c r="Z38" s="515" t="n"/>
      <c r="AA38" s="515" t="n"/>
      <c r="AB38" s="515" t="n"/>
      <c r="AC38" s="515" t="n"/>
      <c r="AD38" s="515" t="n"/>
      <c r="AE38" s="515" t="n"/>
      <c r="AF38" s="515" t="n"/>
      <c r="AG38" s="515" t="n"/>
      <c r="AH38" s="515" t="n"/>
      <c r="AI38" s="515" t="n"/>
      <c r="AJ38" s="515" t="n"/>
      <c r="AK38" s="515" t="n"/>
      <c r="AL38" s="515" t="n"/>
      <c r="AM38" s="515" t="n"/>
      <c r="AN38" s="515" t="n"/>
    </row>
    <row r="39" hidden="1" s="1227">
      <c r="A39" s="421" t="inlineStr">
        <is>
          <t>мат.</t>
        </is>
      </c>
      <c r="B39" s="421" t="inlineStr">
        <is>
          <t>13АВ-РД-АР1.1-К4</t>
        </is>
      </c>
      <c r="C39" s="453" t="n">
        <v>45846</v>
      </c>
      <c r="D39" s="421" t="inlineStr">
        <is>
          <t>Кладка</t>
        </is>
      </c>
      <c r="E39" s="421" t="inlineStr">
        <is>
          <t>БАЗА</t>
        </is>
      </c>
      <c r="F39" s="487" t="inlineStr">
        <is>
          <t>Внутренние стены D600 200 мм</t>
        </is>
      </c>
      <c r="G39" s="421" t="n">
        <v>4</v>
      </c>
      <c r="H39" s="421" t="n"/>
      <c r="I39" s="421" t="n"/>
      <c r="J39" s="421" t="n"/>
      <c r="K39" s="549" t="inlineStr">
        <is>
          <t>СН-1.3 Наружная стена из газобетонных блоков, толщиной 200мм, D600 на клеевом растворе М100</t>
        </is>
      </c>
      <c r="L39" s="421" t="n"/>
      <c r="M39" s="540" t="n"/>
      <c r="N39" s="421" t="n"/>
      <c r="O39" s="421" t="n"/>
      <c r="P39" s="421" t="n"/>
      <c r="Q39" s="456" t="n"/>
      <c r="R39" s="421" t="n"/>
      <c r="S39" s="421" t="n"/>
      <c r="T39" s="421" t="n"/>
      <c r="U39" s="487" t="inlineStr">
        <is>
          <t>Виброзащита подушки под стену СН-1.3</t>
        </is>
      </c>
      <c r="V39" s="421" t="n"/>
      <c r="W39" s="540" t="n"/>
      <c r="X39" s="540" t="n"/>
      <c r="Y39" s="540" t="n"/>
      <c r="Z39" s="540" t="n"/>
      <c r="AA39" s="540" t="n"/>
      <c r="AB39" s="540" t="n"/>
      <c r="AC39" s="540" t="n"/>
      <c r="AD39" s="540" t="n"/>
      <c r="AE39" s="540" t="n"/>
      <c r="AF39" s="540" t="n"/>
      <c r="AG39" s="540" t="n"/>
      <c r="AH39" s="540" t="n"/>
      <c r="AI39" s="540" t="n"/>
    </row>
    <row r="40" ht="45.75" customHeight="1" s="1227">
      <c r="A40" s="421" t="inlineStr">
        <is>
          <t>мат.</t>
        </is>
      </c>
      <c r="B40" s="421" t="inlineStr">
        <is>
          <t>13АВ-РД-АР1.1-К4</t>
        </is>
      </c>
      <c r="C40" s="453" t="n">
        <v>45846</v>
      </c>
      <c r="D40" s="421" t="inlineStr">
        <is>
          <t>Кладка</t>
        </is>
      </c>
      <c r="E40" s="421" t="n"/>
      <c r="F40" s="487" t="inlineStr">
        <is>
          <t>Внутренние стены D600 200 мм</t>
        </is>
      </c>
      <c r="G40" s="421" t="n">
        <v>4</v>
      </c>
      <c r="H40" s="421" t="n"/>
      <c r="I40" s="421" t="n"/>
      <c r="J40" s="514" t="n"/>
      <c r="K40" s="454" t="inlineStr">
        <is>
          <t>Лента вибродемпфирующая СтопЗвук V 150х4</t>
        </is>
      </c>
      <c r="L40" s="421" t="n"/>
      <c r="M40" s="540" t="n"/>
      <c r="N40" s="421">
        <f>SUM(W40:AN40)</f>
        <v/>
      </c>
      <c r="O40" s="421" t="n"/>
      <c r="P40" s="421" t="n"/>
      <c r="Q40" s="456" t="n"/>
      <c r="R40" s="421" t="inlineStr">
        <is>
          <t>м.п</t>
        </is>
      </c>
      <c r="S40" s="421" t="n"/>
      <c r="T40" s="421" t="n"/>
      <c r="U40" s="487" t="n"/>
      <c r="V40" s="421" t="n"/>
      <c r="W40" s="421" t="n">
        <v>2.915</v>
      </c>
      <c r="X40" s="515" t="n">
        <v>0</v>
      </c>
      <c r="Y40" s="515" t="n">
        <v>0</v>
      </c>
      <c r="Z40" s="515" t="n">
        <v>0</v>
      </c>
      <c r="AA40" s="515" t="n">
        <v>0</v>
      </c>
      <c r="AB40" s="515" t="n">
        <v>0</v>
      </c>
      <c r="AC40" s="515" t="n">
        <v>0</v>
      </c>
      <c r="AD40" s="515" t="n">
        <v>0</v>
      </c>
      <c r="AE40" s="515" t="n">
        <v>0</v>
      </c>
      <c r="AF40" s="515" t="n">
        <v>0</v>
      </c>
      <c r="AG40" s="515" t="n">
        <v>0</v>
      </c>
      <c r="AH40" s="515" t="n">
        <v>0</v>
      </c>
      <c r="AI40" s="515" t="n">
        <v>0</v>
      </c>
      <c r="AJ40" s="515" t="n">
        <v>0</v>
      </c>
      <c r="AK40" s="515" t="n">
        <v>0</v>
      </c>
      <c r="AL40" s="515" t="n">
        <v>0</v>
      </c>
      <c r="AM40" s="515" t="n">
        <v>0</v>
      </c>
      <c r="AN40" s="515" t="n">
        <v>0</v>
      </c>
    </row>
    <row r="41" hidden="1" s="1227">
      <c r="A41" s="421" t="inlineStr">
        <is>
          <t>мат.</t>
        </is>
      </c>
      <c r="B41" s="421" t="inlineStr">
        <is>
          <t>13АВ-РД-АР1.1-К4</t>
        </is>
      </c>
      <c r="C41" s="453" t="n">
        <v>45846</v>
      </c>
      <c r="D41" s="421" t="inlineStr">
        <is>
          <t>Кладка</t>
        </is>
      </c>
      <c r="E41" s="421" t="n"/>
      <c r="F41" s="487" t="inlineStr">
        <is>
          <t>Внутренние стены D600 200 мм</t>
        </is>
      </c>
      <c r="G41" s="421" t="n">
        <v>4</v>
      </c>
      <c r="H41" s="421" t="n"/>
      <c r="I41" s="421" t="n"/>
      <c r="J41" s="421" t="n"/>
      <c r="K41" s="544" t="inlineStr">
        <is>
          <t>Герметик виброакустический Сонетик (Sonetik) Силикон</t>
        </is>
      </c>
      <c r="L41" s="421" t="n"/>
      <c r="M41" s="540" t="n"/>
      <c r="N41" s="421" t="n"/>
      <c r="O41" s="421" t="n"/>
      <c r="P41" s="421" t="n"/>
      <c r="Q41" s="456" t="n"/>
      <c r="R41" s="421" t="inlineStr">
        <is>
          <t>кг</t>
        </is>
      </c>
      <c r="S41" s="421" t="n"/>
      <c r="T41" s="421" t="n"/>
      <c r="U41" s="487" t="n"/>
      <c r="V41" s="421" t="n"/>
      <c r="W41" s="421" t="n"/>
      <c r="X41" s="515" t="n"/>
      <c r="Y41" s="515" t="n"/>
      <c r="Z41" s="515" t="n"/>
      <c r="AA41" s="515" t="n"/>
      <c r="AB41" s="515" t="n"/>
      <c r="AC41" s="515" t="n"/>
      <c r="AD41" s="515" t="n"/>
      <c r="AE41" s="515" t="n"/>
      <c r="AF41" s="515" t="n"/>
      <c r="AG41" s="515" t="n"/>
      <c r="AH41" s="515" t="n"/>
      <c r="AI41" s="515" t="n"/>
      <c r="AJ41" s="515" t="n"/>
      <c r="AK41" s="515" t="n"/>
      <c r="AL41" s="515" t="n"/>
      <c r="AM41" s="515" t="n"/>
      <c r="AN41" s="515" t="n"/>
    </row>
    <row r="42" hidden="1" s="1227">
      <c r="A42" s="421" t="inlineStr">
        <is>
          <t>мат.</t>
        </is>
      </c>
      <c r="B42" s="421" t="inlineStr">
        <is>
          <t>13АВ-РД-АР1.1-К4</t>
        </is>
      </c>
      <c r="C42" s="453" t="n">
        <v>45846</v>
      </c>
      <c r="D42" s="421" t="inlineStr">
        <is>
          <t>Кладка</t>
        </is>
      </c>
      <c r="E42" s="421" t="inlineStr">
        <is>
          <t>БАЗА</t>
        </is>
      </c>
      <c r="F42" s="487" t="inlineStr">
        <is>
          <t>Внутренние стены D600 250 мм</t>
        </is>
      </c>
      <c r="G42" s="421" t="n">
        <v>4</v>
      </c>
      <c r="H42" s="421" t="n"/>
      <c r="I42" s="421" t="n"/>
      <c r="J42" s="421" t="n"/>
      <c r="K42" s="549" t="inlineStr">
        <is>
          <t>СН-1.2 Наружная стена из газобетонных блоков, толщиной 250мм, D600 на клеевом растворе М100</t>
        </is>
      </c>
      <c r="L42" s="421" t="n"/>
      <c r="M42" s="540" t="n"/>
      <c r="N42" s="421" t="n"/>
      <c r="O42" s="421" t="n"/>
      <c r="P42" s="421" t="n"/>
      <c r="Q42" s="456" t="n"/>
      <c r="R42" s="421" t="n"/>
      <c r="S42" s="421" t="n"/>
      <c r="T42" s="421" t="n"/>
      <c r="U42" s="487" t="inlineStr">
        <is>
          <t>Виброзащита подушки под стену СН-1.2</t>
        </is>
      </c>
      <c r="V42" s="421" t="n"/>
      <c r="W42" s="421" t="n"/>
      <c r="X42" s="421" t="n"/>
      <c r="Y42" s="421" t="n"/>
      <c r="Z42" s="421" t="n"/>
      <c r="AA42" s="421" t="n"/>
      <c r="AB42" s="421" t="n"/>
      <c r="AC42" s="421" t="n"/>
      <c r="AD42" s="421" t="n"/>
      <c r="AE42" s="421" t="n"/>
      <c r="AF42" s="421" t="n"/>
      <c r="AG42" s="421" t="n"/>
      <c r="AH42" s="421" t="n"/>
      <c r="AI42" s="421" t="n"/>
      <c r="AJ42" s="421" t="n"/>
      <c r="AK42" s="421" t="n"/>
      <c r="AL42" s="421" t="n"/>
      <c r="AM42" s="421" t="n"/>
      <c r="AN42" s="421" t="n"/>
    </row>
    <row r="43">
      <c r="A43" s="421" t="inlineStr">
        <is>
          <t>мат.</t>
        </is>
      </c>
      <c r="B43" s="421" t="inlineStr">
        <is>
          <t>13АВ-РД-АР1.1-К4</t>
        </is>
      </c>
      <c r="C43" s="453" t="n">
        <v>45846</v>
      </c>
      <c r="D43" s="421" t="inlineStr">
        <is>
          <t>Кладка</t>
        </is>
      </c>
      <c r="E43" s="421" t="n"/>
      <c r="F43" s="487" t="inlineStr">
        <is>
          <t>Внутренние стены D600 250 мм</t>
        </is>
      </c>
      <c r="G43" s="421" t="n">
        <v>4</v>
      </c>
      <c r="H43" s="421" t="n"/>
      <c r="I43" s="421" t="n"/>
      <c r="J43" s="421" t="n"/>
      <c r="K43" s="454" t="inlineStr">
        <is>
          <t>Лента вибродемпфирующая СтопЗвук V 150х4</t>
        </is>
      </c>
      <c r="L43" s="421" t="n"/>
      <c r="M43" s="540" t="n"/>
      <c r="N43" s="421">
        <f>SUM(W43:AN43)</f>
        <v/>
      </c>
      <c r="O43" s="421" t="n"/>
      <c r="P43" s="421" t="n"/>
      <c r="Q43" s="456" t="n"/>
      <c r="R43" s="421" t="inlineStr">
        <is>
          <t>м.п</t>
        </is>
      </c>
      <c r="S43" s="421" t="n"/>
      <c r="T43" s="421" t="n"/>
      <c r="U43" s="487" t="n"/>
      <c r="V43" s="421" t="n"/>
      <c r="W43" s="421" t="n">
        <v>39.134</v>
      </c>
      <c r="X43" s="421" t="n">
        <v>57.439</v>
      </c>
      <c r="Y43" s="421" t="n">
        <v>58.734</v>
      </c>
      <c r="Z43" s="421" t="n">
        <v>57.44</v>
      </c>
      <c r="AA43" s="421" t="n">
        <v>58.734</v>
      </c>
      <c r="AB43" s="421" t="n">
        <v>57.44</v>
      </c>
      <c r="AC43" s="421" t="n">
        <v>57.439</v>
      </c>
      <c r="AD43" s="421" t="n">
        <v>57.44</v>
      </c>
      <c r="AE43" s="421" t="n">
        <v>57.439</v>
      </c>
      <c r="AF43" s="421" t="n">
        <v>57.44</v>
      </c>
      <c r="AG43" s="421" t="n">
        <v>57.439</v>
      </c>
      <c r="AH43" s="421" t="n">
        <v>57.44</v>
      </c>
      <c r="AI43" s="421" t="n">
        <v>57.439</v>
      </c>
      <c r="AJ43" s="421" t="n">
        <v>57.44</v>
      </c>
      <c r="AK43" s="421" t="n">
        <v>57.439</v>
      </c>
      <c r="AL43" s="421" t="n">
        <v>57.439</v>
      </c>
      <c r="AM43" s="421">
        <f>54.759-1.1</f>
        <v/>
      </c>
      <c r="AN43" s="421">
        <f>57.269</f>
        <v/>
      </c>
    </row>
    <row r="44" hidden="1" s="1227">
      <c r="A44" s="421" t="inlineStr">
        <is>
          <t>мат.</t>
        </is>
      </c>
      <c r="B44" s="421" t="inlineStr">
        <is>
          <t>13АВ-РД-АР1.1-К4</t>
        </is>
      </c>
      <c r="C44" s="453" t="n">
        <v>45846</v>
      </c>
      <c r="D44" s="421" t="inlineStr">
        <is>
          <t>Кладка</t>
        </is>
      </c>
      <c r="E44" s="421" t="n"/>
      <c r="F44" s="487" t="inlineStr">
        <is>
          <t>Внутренние стены D600 250 мм</t>
        </is>
      </c>
      <c r="G44" s="421" t="n">
        <v>4</v>
      </c>
      <c r="H44" s="421" t="n"/>
      <c r="I44" s="421" t="n"/>
      <c r="J44" s="421" t="n"/>
      <c r="K44" s="544" t="inlineStr">
        <is>
          <t>Герметик виброакустический Сонетик (Sonetik) Силикон</t>
        </is>
      </c>
      <c r="L44" s="421" t="n"/>
      <c r="M44" s="540" t="n"/>
      <c r="N44" s="421" t="n"/>
      <c r="O44" s="421" t="n"/>
      <c r="P44" s="421" t="n"/>
      <c r="Q44" s="456" t="n"/>
      <c r="R44" s="421" t="inlineStr">
        <is>
          <t>кг</t>
        </is>
      </c>
      <c r="S44" s="421" t="n"/>
      <c r="T44" s="421" t="n"/>
      <c r="U44" s="487" t="n"/>
      <c r="V44" s="421" t="n"/>
      <c r="W44" s="421" t="n"/>
      <c r="X44" s="421" t="n"/>
      <c r="Y44" s="421" t="n"/>
      <c r="Z44" s="421" t="n"/>
      <c r="AA44" s="421" t="n"/>
      <c r="AB44" s="421" t="n"/>
      <c r="AC44" s="421" t="n"/>
      <c r="AD44" s="421" t="n"/>
      <c r="AE44" s="421" t="n"/>
      <c r="AF44" s="421" t="n"/>
      <c r="AG44" s="421" t="n"/>
      <c r="AH44" s="421" t="n"/>
      <c r="AI44" s="421" t="n"/>
      <c r="AJ44" s="421" t="n"/>
      <c r="AK44" s="421" t="n"/>
      <c r="AL44" s="421" t="n"/>
      <c r="AM44" s="421" t="n"/>
      <c r="AN44" s="421" t="n"/>
    </row>
    <row r="45" hidden="1" s="1227">
      <c r="A45" s="421" t="inlineStr">
        <is>
          <t>мат.</t>
        </is>
      </c>
      <c r="B45" s="421" t="inlineStr">
        <is>
          <t>13АВ-РД-АР1.1-К4</t>
        </is>
      </c>
      <c r="C45" s="453" t="n">
        <v>45846</v>
      </c>
      <c r="D45" s="421" t="inlineStr">
        <is>
          <t>Кладка</t>
        </is>
      </c>
      <c r="E45" s="421" t="inlineStr">
        <is>
          <t>БАЗА</t>
        </is>
      </c>
      <c r="F45" s="487" t="inlineStr">
        <is>
          <t>Внутренние стены D600 300 мм</t>
        </is>
      </c>
      <c r="G45" s="421" t="n">
        <v>4</v>
      </c>
      <c r="H45" s="421" t="n"/>
      <c r="I45" s="421" t="n"/>
      <c r="J45" s="421" t="n"/>
      <c r="K45" s="549" t="inlineStr">
        <is>
          <t>СН-1.1 Наружная стена из газобетонных блоков, толщиной 300мм, D600 на клеевом растворе М100</t>
        </is>
      </c>
      <c r="L45" s="421" t="n"/>
      <c r="M45" s="540" t="n"/>
      <c r="N45" s="421" t="n"/>
      <c r="O45" s="421" t="n"/>
      <c r="P45" s="421" t="n"/>
      <c r="Q45" s="456" t="n"/>
      <c r="R45" s="421" t="n"/>
      <c r="S45" s="421" t="n"/>
      <c r="T45" s="421" t="n"/>
      <c r="U45" s="487" t="inlineStr">
        <is>
          <t>Виброзащита подушки под стену СН-1.1</t>
        </is>
      </c>
      <c r="V45" s="421" t="n"/>
      <c r="W45" s="421" t="n"/>
      <c r="X45" s="421" t="n"/>
      <c r="Y45" s="421" t="n"/>
      <c r="Z45" s="421" t="n"/>
      <c r="AA45" s="421" t="n"/>
      <c r="AB45" s="421" t="n"/>
      <c r="AC45" s="421" t="n"/>
      <c r="AD45" s="421" t="n"/>
      <c r="AE45" s="421" t="n"/>
      <c r="AF45" s="421" t="n"/>
      <c r="AG45" s="421" t="n"/>
      <c r="AH45" s="421" t="n"/>
      <c r="AI45" s="421" t="n"/>
      <c r="AJ45" s="421" t="n"/>
      <c r="AK45" s="421" t="n"/>
      <c r="AL45" s="421" t="n"/>
      <c r="AM45" s="421" t="n"/>
      <c r="AN45" s="421" t="n"/>
    </row>
    <row r="46">
      <c r="A46" s="421" t="inlineStr">
        <is>
          <t>мат.</t>
        </is>
      </c>
      <c r="B46" s="421" t="inlineStr">
        <is>
          <t>13АВ-РД-АР1.1-К4</t>
        </is>
      </c>
      <c r="C46" s="453" t="n">
        <v>45846</v>
      </c>
      <c r="D46" s="421" t="inlineStr">
        <is>
          <t>Кладка</t>
        </is>
      </c>
      <c r="E46" s="67" t="n"/>
      <c r="F46" s="487" t="inlineStr">
        <is>
          <t>Внутренние стены D600 300 мм</t>
        </is>
      </c>
      <c r="G46" s="67" t="n">
        <v>4</v>
      </c>
      <c r="H46" s="67" t="n"/>
      <c r="I46" s="67" t="n"/>
      <c r="J46" s="67" t="n"/>
      <c r="K46" s="454" t="inlineStr">
        <is>
          <t>Лента вибродемпфирующая СтопЗвук V 150х4</t>
        </is>
      </c>
      <c r="L46" s="421" t="n"/>
      <c r="M46" s="540" t="n"/>
      <c r="N46" s="421">
        <f>SUM(W46:AN46)</f>
        <v/>
      </c>
      <c r="O46" s="421" t="n"/>
      <c r="P46" s="421" t="n"/>
      <c r="Q46" s="456" t="n"/>
      <c r="R46" s="421" t="inlineStr">
        <is>
          <t>м.п</t>
        </is>
      </c>
      <c r="S46" s="67" t="n"/>
      <c r="T46" s="67" t="n"/>
      <c r="U46" s="471" t="n"/>
      <c r="V46" s="67" t="n"/>
      <c r="W46" s="421" t="n">
        <v>35.179</v>
      </c>
      <c r="X46" s="421" t="n">
        <v>0</v>
      </c>
      <c r="Y46" s="421" t="n">
        <v>0</v>
      </c>
      <c r="Z46" s="421" t="n">
        <v>0</v>
      </c>
      <c r="AA46" s="421" t="n">
        <v>0</v>
      </c>
      <c r="AB46" s="421" t="n">
        <v>0</v>
      </c>
      <c r="AC46" s="421" t="n">
        <v>0</v>
      </c>
      <c r="AD46" s="421" t="n">
        <v>0</v>
      </c>
      <c r="AE46" s="421" t="n">
        <v>0</v>
      </c>
      <c r="AF46" s="421" t="n">
        <v>0</v>
      </c>
      <c r="AG46" s="421" t="n">
        <v>0</v>
      </c>
      <c r="AH46" s="421" t="n">
        <v>0</v>
      </c>
      <c r="AI46" s="421" t="n">
        <v>0</v>
      </c>
      <c r="AJ46" s="421" t="n">
        <v>0</v>
      </c>
      <c r="AK46" s="421" t="n">
        <v>0</v>
      </c>
      <c r="AL46" s="421" t="n">
        <v>0</v>
      </c>
      <c r="AM46" s="421" t="n">
        <v>0</v>
      </c>
      <c r="AN46" s="421" t="n">
        <v>0</v>
      </c>
    </row>
    <row r="47" hidden="1" s="1227">
      <c r="A47" s="421" t="inlineStr">
        <is>
          <t>мат.</t>
        </is>
      </c>
      <c r="B47" s="421" t="inlineStr">
        <is>
          <t>13АВ-РД-АР1.1-К4</t>
        </is>
      </c>
      <c r="C47" s="453" t="n">
        <v>45846</v>
      </c>
      <c r="D47" s="421" t="inlineStr">
        <is>
          <t>Кладка</t>
        </is>
      </c>
      <c r="E47" s="67" t="n"/>
      <c r="F47" s="487" t="inlineStr">
        <is>
          <t>Внутренние стены D600 300 мм</t>
        </is>
      </c>
      <c r="G47" s="67" t="n">
        <v>4</v>
      </c>
      <c r="H47" s="67" t="n"/>
      <c r="I47" s="67" t="n"/>
      <c r="J47" s="67" t="n"/>
      <c r="K47" s="544" t="inlineStr">
        <is>
          <t>Герметик виброакустический Сонетик (Sonetik) Силикон</t>
        </is>
      </c>
      <c r="L47" s="421" t="n"/>
      <c r="M47" s="540" t="n"/>
      <c r="N47" s="421" t="n"/>
      <c r="O47" s="421" t="n"/>
      <c r="P47" s="421" t="n"/>
      <c r="Q47" s="456" t="n"/>
      <c r="R47" s="421" t="inlineStr">
        <is>
          <t>кг</t>
        </is>
      </c>
      <c r="S47" s="67" t="n"/>
      <c r="T47" s="67" t="n"/>
      <c r="U47" s="471" t="n"/>
      <c r="V47" s="67" t="n"/>
      <c r="W47" s="67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7" t="n"/>
      <c r="AN47" s="67" t="n"/>
    </row>
    <row r="48" hidden="1" s="1227">
      <c r="A48" s="421" t="inlineStr">
        <is>
          <t>мат.</t>
        </is>
      </c>
      <c r="B48" s="421" t="inlineStr">
        <is>
          <t>13АВ-РД-АР1.1-К4</t>
        </is>
      </c>
      <c r="C48" s="453" t="n">
        <v>45846</v>
      </c>
      <c r="D48" s="421" t="inlineStr">
        <is>
          <t>Кладка</t>
        </is>
      </c>
      <c r="E48" s="421" t="inlineStr">
        <is>
          <t>БАЗА</t>
        </is>
      </c>
      <c r="F48" s="487" t="inlineStr">
        <is>
          <t>Перегородка из бетонных камней толщиной 80мм</t>
        </is>
      </c>
      <c r="G48" s="67" t="n">
        <v>4</v>
      </c>
      <c r="H48" s="67" t="n"/>
      <c r="I48" s="67" t="n"/>
      <c r="J48" s="556" t="n"/>
      <c r="K48" s="549" t="inlineStr">
        <is>
          <t>СВ-3.2 Перегородка из бетонный камней, полнотелый, толщиной 80 мм на клеевом растворе</t>
        </is>
      </c>
      <c r="L48" s="67" t="n"/>
      <c r="M48" s="559" t="n"/>
      <c r="N48" s="67" t="n"/>
      <c r="O48" s="67" t="n"/>
      <c r="P48" s="67" t="n"/>
      <c r="Q48" s="413" t="n"/>
      <c r="R48" s="67" t="n"/>
      <c r="S48" s="67" t="n"/>
      <c r="T48" s="67" t="n"/>
      <c r="U48" s="487" t="inlineStr">
        <is>
          <t>Виброзащита подушки под стену СВ-3.2</t>
        </is>
      </c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7" t="n"/>
      <c r="AN48" s="67" t="n"/>
    </row>
    <row r="49">
      <c r="A49" s="421" t="inlineStr">
        <is>
          <t>мат.</t>
        </is>
      </c>
      <c r="B49" s="421" t="inlineStr">
        <is>
          <t>13АВ-РД-АР1.1-К4</t>
        </is>
      </c>
      <c r="C49" s="453" t="n">
        <v>45846</v>
      </c>
      <c r="D49" s="421" t="inlineStr">
        <is>
          <t>Кладка</t>
        </is>
      </c>
      <c r="E49" s="67" t="n"/>
      <c r="F49" s="487" t="inlineStr">
        <is>
          <t>Перегородка из бетонных камней толщиной 80мм</t>
        </is>
      </c>
      <c r="G49" s="421" t="n">
        <v>4</v>
      </c>
      <c r="H49" s="67" t="n"/>
      <c r="I49" s="67" t="n"/>
      <c r="J49" s="419" t="n"/>
      <c r="K49" s="454" t="inlineStr">
        <is>
          <t>Лента вибродемпфирующая СтопЗвук V 150х4</t>
        </is>
      </c>
      <c r="L49" s="421" t="n"/>
      <c r="M49" s="540" t="n"/>
      <c r="N49" s="421">
        <f>SUM(W49:AN49)</f>
        <v/>
      </c>
      <c r="O49" s="421" t="n"/>
      <c r="P49" s="421" t="n"/>
      <c r="Q49" s="456" t="n"/>
      <c r="R49" s="421" t="inlineStr">
        <is>
          <t>м.п</t>
        </is>
      </c>
      <c r="S49" s="67" t="n"/>
      <c r="T49" s="67" t="n"/>
      <c r="U49" s="67" t="n"/>
      <c r="V49" s="67" t="n"/>
      <c r="W49" s="421" t="n">
        <v>10.49</v>
      </c>
      <c r="X49" s="421" t="n">
        <v>0</v>
      </c>
      <c r="Y49" s="421" t="n">
        <v>0</v>
      </c>
      <c r="Z49" s="421" t="n">
        <v>0</v>
      </c>
      <c r="AA49" s="421" t="n">
        <v>0</v>
      </c>
      <c r="AB49" s="421" t="n">
        <v>0</v>
      </c>
      <c r="AC49" s="421" t="n">
        <v>0</v>
      </c>
      <c r="AD49" s="421" t="n">
        <v>0</v>
      </c>
      <c r="AE49" s="421" t="n">
        <v>0</v>
      </c>
      <c r="AF49" s="421" t="n">
        <v>0</v>
      </c>
      <c r="AG49" s="421" t="n">
        <v>0</v>
      </c>
      <c r="AH49" s="421" t="n">
        <v>0</v>
      </c>
      <c r="AI49" s="421" t="n">
        <v>0</v>
      </c>
      <c r="AJ49" s="421" t="n">
        <v>0</v>
      </c>
      <c r="AK49" s="421" t="n">
        <v>0</v>
      </c>
      <c r="AL49" s="421" t="n">
        <v>0</v>
      </c>
      <c r="AM49" s="421" t="n">
        <v>0</v>
      </c>
      <c r="AN49" s="421" t="n">
        <v>0</v>
      </c>
    </row>
    <row r="50" hidden="1" s="1227">
      <c r="A50" s="421" t="inlineStr">
        <is>
          <t>мат.</t>
        </is>
      </c>
      <c r="B50" s="421" t="inlineStr">
        <is>
          <t>13АВ-РД-АР1.1-К4</t>
        </is>
      </c>
      <c r="C50" s="453" t="n">
        <v>45846</v>
      </c>
      <c r="D50" s="421" t="inlineStr">
        <is>
          <t>Кладка</t>
        </is>
      </c>
      <c r="E50" s="67" t="n"/>
      <c r="F50" s="487" t="inlineStr">
        <is>
          <t>Перегородка из бетонных камней толщиной 80мм</t>
        </is>
      </c>
      <c r="G50" s="421" t="n">
        <v>4</v>
      </c>
      <c r="H50" s="67" t="n"/>
      <c r="I50" s="67" t="n"/>
      <c r="J50" s="419" t="n"/>
      <c r="K50" s="544" t="inlineStr">
        <is>
          <t>Герметик виброакустический Сонетик (Sonetik) Силикон</t>
        </is>
      </c>
      <c r="L50" s="421" t="n"/>
      <c r="M50" s="540" t="n"/>
      <c r="N50" s="421" t="n"/>
      <c r="O50" s="421" t="n"/>
      <c r="P50" s="421" t="n"/>
      <c r="Q50" s="456" t="n"/>
      <c r="R50" s="421" t="inlineStr">
        <is>
          <t>кг</t>
        </is>
      </c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7" t="n"/>
      <c r="AN50" s="67" t="n"/>
    </row>
    <row r="51" hidden="1" s="1227">
      <c r="A51" s="421" t="inlineStr">
        <is>
          <t>мат.</t>
        </is>
      </c>
      <c r="B51" s="421" t="inlineStr">
        <is>
          <t>13АВ-РД-АР1.1-К4</t>
        </is>
      </c>
      <c r="C51" s="453" t="n">
        <v>45846</v>
      </c>
      <c r="D51" s="421" t="inlineStr">
        <is>
          <t>Кладка</t>
        </is>
      </c>
      <c r="E51" s="421" t="inlineStr">
        <is>
          <t>БАЗА</t>
        </is>
      </c>
      <c r="F51" s="487" t="inlineStr">
        <is>
          <t>Перегородка из бетонных камней толщиной 190мм</t>
        </is>
      </c>
      <c r="G51" s="421" t="n">
        <v>4</v>
      </c>
      <c r="H51" s="67" t="n"/>
      <c r="I51" s="67" t="n"/>
      <c r="J51" s="419" t="n"/>
      <c r="K51" s="549" t="inlineStr">
        <is>
          <t>СВ-3.1 Перегородка из бетонный камней, полнотелый, толщиной 190 мм на клеевом растворе</t>
        </is>
      </c>
      <c r="L51" s="67" t="n"/>
      <c r="M51" s="559" t="n"/>
      <c r="N51" s="67" t="n"/>
      <c r="O51" s="67" t="n"/>
      <c r="P51" s="67" t="n"/>
      <c r="Q51" s="413" t="n"/>
      <c r="R51" s="67" t="n"/>
      <c r="S51" s="67" t="n"/>
      <c r="T51" s="67" t="n"/>
      <c r="U51" s="487" t="inlineStr">
        <is>
          <t>Виброзащита подушки под стену СВ-3.1</t>
        </is>
      </c>
      <c r="V51" s="67" t="n"/>
      <c r="W51" s="67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7" t="n"/>
      <c r="AN51" s="67" t="n"/>
    </row>
    <row r="52">
      <c r="A52" s="421" t="inlineStr">
        <is>
          <t>мат.</t>
        </is>
      </c>
      <c r="B52" s="421" t="inlineStr">
        <is>
          <t>13АВ-РД-АР1.1-К4</t>
        </is>
      </c>
      <c r="C52" s="453" t="n">
        <v>45846</v>
      </c>
      <c r="D52" s="421" t="inlineStr">
        <is>
          <t>Кладка</t>
        </is>
      </c>
      <c r="E52" s="67" t="n"/>
      <c r="F52" s="487" t="inlineStr">
        <is>
          <t>Перегородка из бетонных камней толщиной 190мм</t>
        </is>
      </c>
      <c r="G52" s="421" t="n">
        <v>4</v>
      </c>
      <c r="H52" s="67" t="n"/>
      <c r="I52" s="67" t="n"/>
      <c r="J52" s="419" t="n"/>
      <c r="K52" s="454" t="inlineStr">
        <is>
          <t>Лента вибродемпфирующая СтопЗвук V 150х4</t>
        </is>
      </c>
      <c r="L52" s="421" t="n"/>
      <c r="M52" s="540" t="n"/>
      <c r="N52" s="421">
        <f>SUM(W52:AN52)</f>
        <v/>
      </c>
      <c r="O52" s="421" t="n"/>
      <c r="P52" s="421" t="n"/>
      <c r="Q52" s="456" t="n"/>
      <c r="R52" s="421" t="inlineStr">
        <is>
          <t>м.п</t>
        </is>
      </c>
      <c r="S52" s="67" t="n"/>
      <c r="T52" s="67" t="n"/>
      <c r="U52" s="471" t="n"/>
      <c r="V52" s="67" t="n"/>
      <c r="W52" s="421" t="n">
        <v>4.45</v>
      </c>
      <c r="X52" s="421">
        <f>4.449-(1.3+1)</f>
        <v/>
      </c>
      <c r="Y52" s="421">
        <f>4.449-(1.3+1)</f>
        <v/>
      </c>
      <c r="Z52" s="421">
        <f>4.449-(1.3+1)</f>
        <v/>
      </c>
      <c r="AA52" s="421">
        <f>4.449-(1.3+1)</f>
        <v/>
      </c>
      <c r="AB52" s="421">
        <f>4.449-(1.3+1)</f>
        <v/>
      </c>
      <c r="AC52" s="421">
        <f>4.449-(1.3+1)</f>
        <v/>
      </c>
      <c r="AD52" s="421">
        <f>4.449-(1.3+1)</f>
        <v/>
      </c>
      <c r="AE52" s="421">
        <f>4.449-(1.3+1)</f>
        <v/>
      </c>
      <c r="AF52" s="421">
        <f>4.449-(1.3+1)</f>
        <v/>
      </c>
      <c r="AG52" s="421">
        <f>4.449-(1.3+1)</f>
        <v/>
      </c>
      <c r="AH52" s="421">
        <f>4.449-(1.3+1)</f>
        <v/>
      </c>
      <c r="AI52" s="421">
        <f>4.449-(1.3+1)</f>
        <v/>
      </c>
      <c r="AJ52" s="421">
        <f>4.449-(1.3+1)</f>
        <v/>
      </c>
      <c r="AK52" s="421">
        <f>4.449-(1.3+1)</f>
        <v/>
      </c>
      <c r="AL52" s="421">
        <f>4.449-(1.3+1)</f>
        <v/>
      </c>
      <c r="AM52" s="421">
        <f>4.449-(1.3+1)</f>
        <v/>
      </c>
      <c r="AN52" s="421">
        <f>4.449-(1.3+1)</f>
        <v/>
      </c>
    </row>
    <row r="53" hidden="1" s="1227">
      <c r="A53" s="421" t="inlineStr">
        <is>
          <t>мат.</t>
        </is>
      </c>
      <c r="B53" s="421" t="inlineStr">
        <is>
          <t>13АВ-РД-АР1.1-К4</t>
        </is>
      </c>
      <c r="C53" s="453" t="n">
        <v>45846</v>
      </c>
      <c r="D53" s="421" t="inlineStr">
        <is>
          <t>Кладка</t>
        </is>
      </c>
      <c r="E53" s="67" t="n"/>
      <c r="F53" s="487" t="inlineStr">
        <is>
          <t>Перегородка из бетонных камней толщиной 190мм</t>
        </is>
      </c>
      <c r="G53" s="421" t="n">
        <v>4</v>
      </c>
      <c r="H53" s="67" t="n"/>
      <c r="I53" s="67" t="n"/>
      <c r="J53" s="419" t="n"/>
      <c r="K53" s="544" t="inlineStr">
        <is>
          <t>Герметик виброакустический Сонетик (Sonetik) Силикон</t>
        </is>
      </c>
      <c r="L53" s="421" t="n"/>
      <c r="M53" s="540" t="n"/>
      <c r="N53" s="421" t="n"/>
      <c r="O53" s="421" t="n"/>
      <c r="P53" s="421" t="n"/>
      <c r="Q53" s="456" t="n"/>
      <c r="R53" s="421" t="inlineStr">
        <is>
          <t>кг</t>
        </is>
      </c>
      <c r="S53" s="67" t="n"/>
      <c r="T53" s="67" t="n"/>
      <c r="U53" s="471" t="n"/>
      <c r="V53" s="67" t="n"/>
      <c r="W53" s="67" t="n"/>
      <c r="X53" s="67" t="n"/>
      <c r="Y53" s="67" t="n">
        <v>0</v>
      </c>
      <c r="Z53" s="67" t="n">
        <v>0</v>
      </c>
      <c r="AA53" s="67" t="n">
        <v>0</v>
      </c>
      <c r="AB53" s="67" t="n">
        <v>0</v>
      </c>
      <c r="AC53" s="67" t="n">
        <v>0</v>
      </c>
      <c r="AD53" s="67" t="n">
        <v>0</v>
      </c>
      <c r="AE53" s="67" t="n">
        <v>0</v>
      </c>
      <c r="AF53" s="67" t="n">
        <v>0</v>
      </c>
      <c r="AG53" s="67" t="n">
        <v>0</v>
      </c>
      <c r="AH53" s="67" t="n">
        <v>0</v>
      </c>
      <c r="AI53" s="67" t="n">
        <v>0</v>
      </c>
      <c r="AJ53" s="67" t="n">
        <v>0</v>
      </c>
      <c r="AK53" s="67" t="n">
        <v>0</v>
      </c>
      <c r="AL53" s="67" t="n"/>
      <c r="AM53" s="67" t="n"/>
      <c r="AN53" s="67" t="n"/>
    </row>
    <row r="54" hidden="1" s="1227">
      <c r="A54" s="421" t="inlineStr">
        <is>
          <t>мат.</t>
        </is>
      </c>
      <c r="B54" s="421" t="inlineStr">
        <is>
          <t>13АВ-РД-АР1.1-К4</t>
        </is>
      </c>
      <c r="C54" s="453" t="n">
        <v>45846</v>
      </c>
      <c r="D54" s="421" t="inlineStr">
        <is>
          <t>Кладка</t>
        </is>
      </c>
      <c r="E54" s="421" t="inlineStr">
        <is>
          <t>БАЗА</t>
        </is>
      </c>
      <c r="F54" s="487" t="inlineStr">
        <is>
          <t>Внутренние стены D600 100 мм</t>
        </is>
      </c>
      <c r="G54" s="421" t="n">
        <v>4</v>
      </c>
      <c r="H54" s="67" t="n"/>
      <c r="I54" s="67" t="n"/>
      <c r="J54" s="419" t="n"/>
      <c r="K54" s="549" t="inlineStr">
        <is>
          <t>СВ-1.5 Внутренняя стена из газобетонных блоков, толщиной 100мм, высота 420 мм от ур.ж/б плиты, D600 на клеевом растворе М100</t>
        </is>
      </c>
      <c r="L54" s="67" t="n"/>
      <c r="M54" s="559" t="n"/>
      <c r="N54" s="67" t="n"/>
      <c r="O54" s="67" t="n"/>
      <c r="P54" s="67" t="n"/>
      <c r="Q54" s="413" t="n"/>
      <c r="R54" s="67" t="n"/>
      <c r="S54" s="67" t="n"/>
      <c r="T54" s="67" t="n"/>
      <c r="U54" s="487" t="inlineStr">
        <is>
          <t>Виброзащита подушки под стену СВ-1.5</t>
        </is>
      </c>
      <c r="V54" s="67" t="n"/>
      <c r="W54" s="557" t="n"/>
      <c r="X54" s="557" t="n"/>
      <c r="Y54" s="557" t="n"/>
      <c r="Z54" s="557" t="n"/>
      <c r="AA54" s="557" t="n"/>
      <c r="AB54" s="557" t="n"/>
      <c r="AC54" s="557" t="n"/>
      <c r="AD54" s="557" t="n"/>
      <c r="AE54" s="557" t="n"/>
      <c r="AF54" s="557" t="n"/>
      <c r="AG54" s="557" t="n"/>
      <c r="AH54" s="557" t="n"/>
      <c r="AI54" s="557" t="n"/>
      <c r="AJ54" s="557" t="n"/>
      <c r="AK54" s="557" t="n"/>
      <c r="AL54" s="557" t="n"/>
      <c r="AM54" s="557" t="n"/>
      <c r="AN54" s="557" t="n"/>
    </row>
    <row r="55">
      <c r="A55" s="421" t="inlineStr">
        <is>
          <t>мат.</t>
        </is>
      </c>
      <c r="B55" s="421" t="inlineStr">
        <is>
          <t>13АВ-РД-АР1.1-К4</t>
        </is>
      </c>
      <c r="C55" s="453" t="n">
        <v>45846</v>
      </c>
      <c r="D55" s="421" t="inlineStr">
        <is>
          <t>Кладка</t>
        </is>
      </c>
      <c r="E55" s="67" t="n"/>
      <c r="F55" s="487" t="inlineStr">
        <is>
          <t>Внутренние стены D600 100 мм</t>
        </is>
      </c>
      <c r="G55" s="421" t="n">
        <v>4</v>
      </c>
      <c r="H55" s="67" t="n"/>
      <c r="I55" s="67" t="n"/>
      <c r="J55" s="419" t="n"/>
      <c r="K55" s="454" t="inlineStr">
        <is>
          <t>Лента вибродемпфирующая СтопЗвук V 150х4</t>
        </is>
      </c>
      <c r="L55" s="421" t="n"/>
      <c r="M55" s="540" t="n"/>
      <c r="N55" s="515">
        <f>SUM(W55:AN55)</f>
        <v/>
      </c>
      <c r="O55" s="421" t="n"/>
      <c r="P55" s="421" t="n"/>
      <c r="Q55" s="456" t="n"/>
      <c r="R55" s="421" t="inlineStr">
        <is>
          <t>м.п</t>
        </is>
      </c>
      <c r="S55" s="67" t="n"/>
      <c r="T55" s="67" t="n"/>
      <c r="U55" s="375" t="n"/>
      <c r="V55" s="67" t="n"/>
      <c r="W55" s="515" t="n">
        <v>282.687</v>
      </c>
      <c r="X55" s="421" t="n">
        <v>0</v>
      </c>
      <c r="Y55" s="421" t="n">
        <v>0</v>
      </c>
      <c r="Z55" s="421" t="n">
        <v>0</v>
      </c>
      <c r="AA55" s="421" t="n">
        <v>0</v>
      </c>
      <c r="AB55" s="421" t="n">
        <v>0</v>
      </c>
      <c r="AC55" s="421" t="n">
        <v>0</v>
      </c>
      <c r="AD55" s="421" t="n">
        <v>0</v>
      </c>
      <c r="AE55" s="421" t="n">
        <v>0</v>
      </c>
      <c r="AF55" s="421" t="n">
        <v>0</v>
      </c>
      <c r="AG55" s="421" t="n">
        <v>0</v>
      </c>
      <c r="AH55" s="421" t="n">
        <v>0</v>
      </c>
      <c r="AI55" s="421" t="n">
        <v>0</v>
      </c>
      <c r="AJ55" s="421" t="n">
        <v>0</v>
      </c>
      <c r="AK55" s="421" t="n">
        <v>0</v>
      </c>
      <c r="AL55" s="421" t="n">
        <v>0</v>
      </c>
      <c r="AM55" s="421" t="n">
        <v>0</v>
      </c>
      <c r="AN55" s="421" t="n">
        <v>0</v>
      </c>
    </row>
    <row r="56" hidden="1" s="1227">
      <c r="A56" s="421" t="inlineStr">
        <is>
          <t>мат.</t>
        </is>
      </c>
      <c r="B56" s="421" t="inlineStr">
        <is>
          <t>13АВ-РД-АР1.1-К4</t>
        </is>
      </c>
      <c r="C56" s="453" t="n">
        <v>45846</v>
      </c>
      <c r="D56" s="421" t="inlineStr">
        <is>
          <t>Кладка</t>
        </is>
      </c>
      <c r="E56" s="67" t="n"/>
      <c r="F56" s="487" t="inlineStr">
        <is>
          <t>Внутренние стены D600 100 мм</t>
        </is>
      </c>
      <c r="G56" s="67" t="n">
        <v>4</v>
      </c>
      <c r="H56" s="67" t="n"/>
      <c r="I56" s="67" t="n"/>
      <c r="J56" s="419" t="n"/>
      <c r="K56" s="544" t="inlineStr">
        <is>
          <t>Герметик виброакустический Сонетик (Sonetik) Силикон</t>
        </is>
      </c>
      <c r="L56" s="421" t="n"/>
      <c r="M56" s="540" t="n"/>
      <c r="N56" s="421" t="n"/>
      <c r="O56" s="421" t="n"/>
      <c r="P56" s="421" t="n"/>
      <c r="Q56" s="456" t="n"/>
      <c r="R56" s="421" t="inlineStr">
        <is>
          <t>кг</t>
        </is>
      </c>
      <c r="S56" s="67" t="n"/>
      <c r="T56" s="67" t="n"/>
      <c r="U56" s="471" t="n"/>
      <c r="V56" s="67" t="n"/>
      <c r="W56" s="557" t="n"/>
      <c r="X56" s="413" t="n"/>
      <c r="Y56" s="413" t="n"/>
      <c r="Z56" s="413" t="n"/>
      <c r="AA56" s="413" t="n"/>
      <c r="AB56" s="413" t="n"/>
      <c r="AC56" s="413" t="n"/>
      <c r="AD56" s="413" t="n"/>
      <c r="AE56" s="413" t="n"/>
      <c r="AF56" s="413" t="n"/>
      <c r="AG56" s="413" t="n"/>
      <c r="AH56" s="413" t="n"/>
      <c r="AI56" s="413" t="n"/>
      <c r="AJ56" s="413" t="n"/>
      <c r="AK56" s="413" t="n"/>
      <c r="AL56" s="413" t="n"/>
      <c r="AM56" s="413" t="n"/>
      <c r="AN56" s="413" t="n"/>
    </row>
    <row r="57" hidden="1" s="1227">
      <c r="A57" s="421" t="inlineStr">
        <is>
          <t>мат.</t>
        </is>
      </c>
      <c r="B57" s="421" t="inlineStr">
        <is>
          <t>13АВ-РД-АР1.1-К4</t>
        </is>
      </c>
      <c r="C57" s="453" t="n">
        <v>45846</v>
      </c>
      <c r="D57" s="421" t="inlineStr">
        <is>
          <t>Кладка</t>
        </is>
      </c>
      <c r="E57" s="421" t="inlineStr">
        <is>
          <t>БАЗА</t>
        </is>
      </c>
      <c r="F57" s="487" t="inlineStr">
        <is>
          <t>Внутренние стены D600 100 мм</t>
        </is>
      </c>
      <c r="G57" s="67" t="n">
        <v>4</v>
      </c>
      <c r="H57" s="67" t="n"/>
      <c r="I57" s="67" t="n"/>
      <c r="J57" s="419" t="n"/>
      <c r="K57" s="549" t="inlineStr">
        <is>
          <t>СВ-1.4 Внутренняя стена из газобетонных блоков, толщиной 100мм, D600 на клеевом растворе М100</t>
        </is>
      </c>
      <c r="L57" s="67" t="n"/>
      <c r="M57" s="559" t="n"/>
      <c r="N57" s="67" t="n"/>
      <c r="O57" s="67" t="n"/>
      <c r="P57" s="67" t="n"/>
      <c r="Q57" s="67" t="n"/>
      <c r="R57" s="67" t="n"/>
      <c r="S57" s="67" t="n"/>
      <c r="T57" s="67" t="n"/>
      <c r="U57" s="487" t="inlineStr">
        <is>
          <t>Виброзащита подушки под стену СВ-1.4</t>
        </is>
      </c>
      <c r="V57" s="67" t="n"/>
      <c r="W57" s="67" t="n"/>
      <c r="X57" s="557" t="n"/>
      <c r="Y57" s="557" t="n"/>
      <c r="Z57" s="557" t="n"/>
      <c r="AA57" s="557" t="n"/>
      <c r="AB57" s="557" t="n"/>
      <c r="AC57" s="557" t="n"/>
      <c r="AD57" s="557" t="n"/>
      <c r="AE57" s="557" t="n"/>
      <c r="AF57" s="557" t="n"/>
      <c r="AG57" s="557" t="n"/>
      <c r="AH57" s="557" t="n"/>
      <c r="AI57" s="557" t="n"/>
      <c r="AJ57" s="557" t="n"/>
      <c r="AK57" s="557" t="n"/>
      <c r="AL57" s="557" t="n"/>
      <c r="AM57" s="557" t="n"/>
      <c r="AN57" s="557" t="n"/>
    </row>
    <row r="58">
      <c r="A58" s="421" t="inlineStr">
        <is>
          <t>мат.</t>
        </is>
      </c>
      <c r="B58" s="421" t="inlineStr">
        <is>
          <t>13АВ-РД-АР1.1-К4</t>
        </is>
      </c>
      <c r="C58" s="453" t="n">
        <v>45846</v>
      </c>
      <c r="D58" s="421" t="inlineStr">
        <is>
          <t>Кладка</t>
        </is>
      </c>
      <c r="E58" s="67" t="n"/>
      <c r="F58" s="487" t="inlineStr">
        <is>
          <t>Внутренние стены D600 100 мм</t>
        </is>
      </c>
      <c r="G58" s="67" t="n">
        <v>4</v>
      </c>
      <c r="H58" s="67" t="n"/>
      <c r="I58" s="67" t="n"/>
      <c r="J58" s="419" t="n"/>
      <c r="K58" s="454" t="inlineStr">
        <is>
          <t>Лента вибродемпфирующая СтопЗвук V 150х4</t>
        </is>
      </c>
      <c r="L58" s="421" t="n"/>
      <c r="M58" s="540" t="n"/>
      <c r="N58" s="421">
        <f>SUM(W58:AN58)</f>
        <v/>
      </c>
      <c r="O58" s="421" t="n"/>
      <c r="P58" s="421" t="n"/>
      <c r="Q58" s="456" t="n"/>
      <c r="R58" s="421" t="inlineStr">
        <is>
          <t>м.п</t>
        </is>
      </c>
      <c r="S58" s="67" t="n"/>
      <c r="T58" s="67" t="n"/>
      <c r="U58" s="471" t="n"/>
      <c r="V58" s="67" t="n"/>
      <c r="W58" s="421" t="n">
        <v>20.018</v>
      </c>
      <c r="X58" s="515" t="n">
        <v>5.95</v>
      </c>
      <c r="Y58" s="515" t="n">
        <v>5.95</v>
      </c>
      <c r="Z58" s="515" t="n">
        <v>5.95</v>
      </c>
      <c r="AA58" s="515" t="n">
        <v>5.95</v>
      </c>
      <c r="AB58" s="515" t="n">
        <v>5.95</v>
      </c>
      <c r="AC58" s="515" t="n">
        <v>5.95</v>
      </c>
      <c r="AD58" s="515" t="n">
        <v>5.95</v>
      </c>
      <c r="AE58" s="515" t="n">
        <v>5.95</v>
      </c>
      <c r="AF58" s="515" t="n">
        <v>5.95</v>
      </c>
      <c r="AG58" s="515" t="n">
        <v>5.95</v>
      </c>
      <c r="AH58" s="515" t="n">
        <v>5.95</v>
      </c>
      <c r="AI58" s="515" t="n">
        <v>5.95</v>
      </c>
      <c r="AJ58" s="515" t="n">
        <v>5.95</v>
      </c>
      <c r="AK58" s="515" t="n">
        <v>5.95</v>
      </c>
      <c r="AL58" s="515" t="n">
        <v>5.95</v>
      </c>
      <c r="AM58" s="515" t="n">
        <v>5.95</v>
      </c>
      <c r="AN58" s="515">
        <f>5.65-1.1</f>
        <v/>
      </c>
    </row>
    <row r="59" hidden="1" s="1227">
      <c r="A59" s="421" t="inlineStr">
        <is>
          <t>мат.</t>
        </is>
      </c>
      <c r="B59" s="421" t="inlineStr">
        <is>
          <t>13АВ-РД-АР1.1-К4</t>
        </is>
      </c>
      <c r="C59" s="453" t="n">
        <v>45846</v>
      </c>
      <c r="D59" s="421" t="inlineStr">
        <is>
          <t>Кладка</t>
        </is>
      </c>
      <c r="E59" s="67" t="n"/>
      <c r="F59" s="487" t="inlineStr">
        <is>
          <t>Внутренние стены D600 100 мм</t>
        </is>
      </c>
      <c r="G59" s="421" t="n">
        <v>4</v>
      </c>
      <c r="H59" s="67" t="n"/>
      <c r="I59" s="67" t="n"/>
      <c r="J59" s="419" t="n"/>
      <c r="K59" s="544" t="inlineStr">
        <is>
          <t>Герметик виброакустический Сонетик (Sonetik) Силикон</t>
        </is>
      </c>
      <c r="L59" s="421" t="n"/>
      <c r="M59" s="540" t="n"/>
      <c r="N59" s="421" t="n"/>
      <c r="O59" s="421" t="n"/>
      <c r="P59" s="421" t="n"/>
      <c r="Q59" s="456" t="n"/>
      <c r="R59" s="421" t="inlineStr">
        <is>
          <t>кг</t>
        </is>
      </c>
      <c r="S59" s="67" t="n"/>
      <c r="T59" s="67" t="n"/>
      <c r="U59" s="471" t="n"/>
      <c r="V59" s="67" t="n"/>
      <c r="W59" s="557" t="n"/>
      <c r="X59" s="557" t="n"/>
      <c r="Y59" s="557" t="n"/>
      <c r="Z59" s="557" t="n"/>
      <c r="AA59" s="557" t="n"/>
      <c r="AB59" s="557" t="n"/>
      <c r="AC59" s="557" t="n"/>
      <c r="AD59" s="557" t="n"/>
      <c r="AE59" s="557" t="n"/>
      <c r="AF59" s="557" t="n"/>
      <c r="AG59" s="557" t="n"/>
      <c r="AH59" s="557" t="n"/>
      <c r="AI59" s="557" t="n"/>
      <c r="AJ59" s="557" t="n"/>
      <c r="AK59" s="557" t="n"/>
      <c r="AL59" s="557" t="n"/>
      <c r="AM59" s="557" t="n"/>
      <c r="AN59" s="557" t="n"/>
    </row>
    <row r="60" hidden="1" s="1227">
      <c r="A60" s="421" t="inlineStr">
        <is>
          <t>мат.</t>
        </is>
      </c>
      <c r="B60" s="421" t="inlineStr">
        <is>
          <t>13АВ-РД-АР1.1-К4</t>
        </is>
      </c>
      <c r="C60" s="453" t="n">
        <v>45846</v>
      </c>
      <c r="D60" s="421" t="inlineStr">
        <is>
          <t>Кладка</t>
        </is>
      </c>
      <c r="E60" s="421" t="inlineStr">
        <is>
          <t>БАЗА</t>
        </is>
      </c>
      <c r="F60" s="487" t="inlineStr">
        <is>
          <t>Внутренние стены D600 200 мм</t>
        </is>
      </c>
      <c r="G60" s="421" t="n">
        <v>4</v>
      </c>
      <c r="H60" s="67" t="n"/>
      <c r="I60" s="67" t="n"/>
      <c r="J60" s="419" t="n"/>
      <c r="K60" s="553" t="inlineStr">
        <is>
          <t>СВ-1.2 Внутренняя стена из газобетонных блоков, толщиной 200 мм, D600 на клеевом растворе М100</t>
        </is>
      </c>
      <c r="L60" s="358" t="n"/>
      <c r="M60" s="67" t="n"/>
      <c r="N60" s="67" t="n"/>
      <c r="O60" s="67" t="n"/>
      <c r="P60" s="67" t="n"/>
      <c r="Q60" s="413" t="n"/>
      <c r="R60" s="67" t="n"/>
      <c r="S60" s="67" t="n"/>
      <c r="T60" s="67" t="n"/>
      <c r="U60" s="487" t="inlineStr">
        <is>
          <t>Виброзащита подушки под стену СВ-1.2</t>
        </is>
      </c>
      <c r="V60" s="67" t="n"/>
      <c r="W60" s="557" t="n"/>
      <c r="X60" s="557" t="n"/>
      <c r="Y60" s="557" t="n"/>
      <c r="Z60" s="557" t="n"/>
      <c r="AA60" s="557" t="n"/>
      <c r="AB60" s="557" t="n"/>
      <c r="AC60" s="557" t="n"/>
      <c r="AD60" s="557" t="n"/>
      <c r="AE60" s="557" t="n"/>
      <c r="AF60" s="557" t="n"/>
      <c r="AG60" s="557" t="n"/>
      <c r="AH60" s="557" t="n"/>
      <c r="AI60" s="557" t="n"/>
      <c r="AJ60" s="557" t="n"/>
      <c r="AK60" s="557" t="n"/>
      <c r="AL60" s="557" t="n"/>
      <c r="AM60" s="557" t="n"/>
      <c r="AN60" s="557" t="n"/>
    </row>
    <row r="61">
      <c r="A61" s="421" t="inlineStr">
        <is>
          <t>мат.</t>
        </is>
      </c>
      <c r="B61" s="421" t="inlineStr">
        <is>
          <t>13АВ-РД-АР1.1-К4</t>
        </is>
      </c>
      <c r="C61" s="453" t="n">
        <v>45846</v>
      </c>
      <c r="D61" s="421" t="inlineStr">
        <is>
          <t>Кладка</t>
        </is>
      </c>
      <c r="E61" s="67" t="n"/>
      <c r="F61" s="487" t="inlineStr">
        <is>
          <t>Внутренние стены D600 200 мм</t>
        </is>
      </c>
      <c r="G61" s="421" t="n">
        <v>4</v>
      </c>
      <c r="H61" s="67" t="n"/>
      <c r="I61" s="67" t="n"/>
      <c r="J61" s="419" t="n"/>
      <c r="K61" s="454" t="inlineStr">
        <is>
          <t>Лента вибродемпфирующая СтопЗвук V 150х4</t>
        </is>
      </c>
      <c r="L61" s="421" t="n"/>
      <c r="M61" s="540" t="n"/>
      <c r="N61" s="515">
        <f>SUM(W61:AN61)</f>
        <v/>
      </c>
      <c r="O61" s="421" t="n"/>
      <c r="P61" s="421" t="n"/>
      <c r="Q61" s="456" t="n"/>
      <c r="R61" s="421" t="inlineStr">
        <is>
          <t>м.п</t>
        </is>
      </c>
      <c r="S61" s="67" t="n"/>
      <c r="T61" s="67" t="n"/>
      <c r="U61" s="471" t="n"/>
      <c r="V61" s="67" t="n"/>
      <c r="W61" s="515" t="n">
        <v>53.58</v>
      </c>
      <c r="X61" s="515">
        <f>73.357-((1.1*7)+(0.9))</f>
        <v/>
      </c>
      <c r="Y61" s="515">
        <f>73.357-(8*1.1)</f>
        <v/>
      </c>
      <c r="Z61" s="515">
        <f>73.657-((1.1*7)+(0.9))</f>
        <v/>
      </c>
      <c r="AA61" s="515">
        <f>73.657-((1.1*7)+(0.9))</f>
        <v/>
      </c>
      <c r="AB61" s="515">
        <f>73.657-((1.1*7)+(0.9))</f>
        <v/>
      </c>
      <c r="AC61" s="515">
        <f>73.657-((1.1*7)+(0.9))</f>
        <v/>
      </c>
      <c r="AD61" s="515">
        <f>73.657-((1.1*7)+(0.9))</f>
        <v/>
      </c>
      <c r="AE61" s="515">
        <f>73.657-((1.1*7)+(0.9))</f>
        <v/>
      </c>
      <c r="AF61" s="515">
        <f>73.657-((1.1*7)+(0.9))</f>
        <v/>
      </c>
      <c r="AG61" s="515">
        <f>73.657-((1.1*7)+(0.9))</f>
        <v/>
      </c>
      <c r="AH61" s="515">
        <f>73.657-((1.1*7)+(0.9))</f>
        <v/>
      </c>
      <c r="AI61" s="515">
        <f>73.657-((1.1*7)+(0.9))</f>
        <v/>
      </c>
      <c r="AJ61" s="515">
        <f>73.657-((1.1*7)+(0.9))</f>
        <v/>
      </c>
      <c r="AK61" s="515">
        <f>73.657-((1.1*7)+(0.9))</f>
        <v/>
      </c>
      <c r="AL61" s="515">
        <f>73.657-((1.1*7)+(0.9))</f>
        <v/>
      </c>
      <c r="AM61" s="515">
        <f>66.16-(7*1.1)</f>
        <v/>
      </c>
      <c r="AN61" s="515">
        <f>59.385-(6*1.1)</f>
        <v/>
      </c>
    </row>
    <row r="62" hidden="1" s="1227">
      <c r="A62" s="421" t="inlineStr">
        <is>
          <t>мат.</t>
        </is>
      </c>
      <c r="B62" s="421" t="inlineStr">
        <is>
          <t>13АВ-РД-АР1.1-К4</t>
        </is>
      </c>
      <c r="C62" s="453" t="n">
        <v>45846</v>
      </c>
      <c r="D62" s="421" t="inlineStr">
        <is>
          <t>Кладка</t>
        </is>
      </c>
      <c r="E62" s="67" t="n"/>
      <c r="F62" s="487" t="inlineStr">
        <is>
          <t>Внутренние стены D600 200 мм</t>
        </is>
      </c>
      <c r="G62" s="421" t="n">
        <v>4</v>
      </c>
      <c r="H62" s="67" t="n"/>
      <c r="I62" s="67" t="n"/>
      <c r="J62" s="419" t="n"/>
      <c r="K62" s="544" t="inlineStr">
        <is>
          <t>Герметик виброакустический Сонетик (Sonetik) Силикон</t>
        </is>
      </c>
      <c r="L62" s="421" t="n"/>
      <c r="M62" s="540" t="n"/>
      <c r="N62" s="421" t="n"/>
      <c r="O62" s="421" t="n"/>
      <c r="P62" s="421" t="n"/>
      <c r="Q62" s="456" t="n"/>
      <c r="R62" s="421" t="inlineStr">
        <is>
          <t>кг</t>
        </is>
      </c>
      <c r="S62" s="67" t="n"/>
      <c r="T62" s="67" t="n"/>
      <c r="U62" s="471" t="n"/>
      <c r="V62" s="67" t="n"/>
      <c r="W62" s="557" t="n"/>
      <c r="X62" s="557" t="n"/>
      <c r="Y62" s="557" t="n"/>
      <c r="Z62" s="557" t="n"/>
      <c r="AA62" s="557" t="n"/>
      <c r="AB62" s="557" t="n"/>
      <c r="AC62" s="557" t="n"/>
      <c r="AD62" s="557" t="n"/>
      <c r="AE62" s="557" t="n"/>
      <c r="AF62" s="557" t="n"/>
      <c r="AG62" s="557" t="n"/>
      <c r="AH62" s="557" t="n"/>
      <c r="AI62" s="557" t="n"/>
      <c r="AJ62" s="557" t="n"/>
      <c r="AK62" s="557" t="n"/>
      <c r="AL62" s="557" t="n"/>
      <c r="AM62" s="557" t="n"/>
      <c r="AN62" s="557" t="n"/>
    </row>
    <row r="63" hidden="1" s="1227">
      <c r="A63" s="421" t="inlineStr">
        <is>
          <t>мат.</t>
        </is>
      </c>
      <c r="B63" s="421" t="inlineStr">
        <is>
          <t>13АВ-РД-АР1.1-К4</t>
        </is>
      </c>
      <c r="C63" s="453" t="n">
        <v>45846</v>
      </c>
      <c r="D63" s="421" t="inlineStr">
        <is>
          <t>Кладка</t>
        </is>
      </c>
      <c r="E63" s="421" t="inlineStr">
        <is>
          <t>БАЗА</t>
        </is>
      </c>
      <c r="F63" s="487" t="inlineStr">
        <is>
          <t>Внутренние стены D600 250 мм</t>
        </is>
      </c>
      <c r="G63" s="421" t="n">
        <v>4</v>
      </c>
      <c r="H63" s="67" t="n"/>
      <c r="I63" s="67" t="n"/>
      <c r="J63" s="419" t="n"/>
      <c r="K63" s="549" t="inlineStr">
        <is>
          <t>СВ-1.1 Внутренняя стена из газобетонных блоков, толщиной 250 мм, D600 на клеевом растворе М100</t>
        </is>
      </c>
      <c r="L63" s="67" t="n"/>
      <c r="M63" s="557" t="n"/>
      <c r="N63" s="67" t="n"/>
      <c r="O63" s="67" t="n"/>
      <c r="P63" s="67" t="n"/>
      <c r="Q63" s="557" t="n"/>
      <c r="R63" s="67" t="n"/>
      <c r="S63" s="67" t="n"/>
      <c r="T63" s="67" t="n"/>
      <c r="U63" s="487" t="inlineStr">
        <is>
          <t>Виброзащита подушки под стену СВ-1.1</t>
        </is>
      </c>
      <c r="V63" s="67" t="n"/>
      <c r="W63" s="557" t="n"/>
      <c r="X63" s="557" t="n"/>
      <c r="Y63" s="557" t="n"/>
      <c r="Z63" s="557" t="n"/>
      <c r="AA63" s="557" t="n"/>
      <c r="AB63" s="557" t="n"/>
      <c r="AC63" s="557" t="n"/>
      <c r="AD63" s="557" t="n"/>
      <c r="AE63" s="557" t="n"/>
      <c r="AF63" s="557" t="n"/>
      <c r="AG63" s="557" t="n"/>
      <c r="AH63" s="557" t="n"/>
      <c r="AI63" s="557" t="n"/>
      <c r="AJ63" s="557" t="n"/>
      <c r="AK63" s="557" t="n"/>
      <c r="AL63" s="557" t="n"/>
      <c r="AM63" s="557" t="n"/>
      <c r="AN63" s="557" t="n"/>
    </row>
    <row r="64">
      <c r="A64" s="421" t="inlineStr">
        <is>
          <t>мат.</t>
        </is>
      </c>
      <c r="B64" s="421" t="inlineStr">
        <is>
          <t>13АВ-РД-АР1.1-К4</t>
        </is>
      </c>
      <c r="C64" s="453" t="n">
        <v>45846</v>
      </c>
      <c r="D64" s="421" t="inlineStr">
        <is>
          <t>Кладка</t>
        </is>
      </c>
      <c r="E64" s="67" t="n"/>
      <c r="F64" s="487" t="inlineStr">
        <is>
          <t>Внутренние стены D600 250 мм</t>
        </is>
      </c>
      <c r="G64" s="421" t="n">
        <v>4</v>
      </c>
      <c r="H64" s="67" t="n"/>
      <c r="I64" s="67" t="n"/>
      <c r="J64" s="419" t="n"/>
      <c r="K64" s="454" t="inlineStr">
        <is>
          <t>Лента вибродемпфирующая СтопЗвук V 150х4</t>
        </is>
      </c>
      <c r="L64" s="421" t="n"/>
      <c r="M64" s="540" t="n"/>
      <c r="N64" s="515">
        <f>SUM(W64:AN64)</f>
        <v/>
      </c>
      <c r="O64" s="421" t="n"/>
      <c r="P64" s="421" t="n"/>
      <c r="Q64" s="456" t="n"/>
      <c r="R64" s="421" t="inlineStr">
        <is>
          <t>м.п</t>
        </is>
      </c>
      <c r="S64" s="67" t="n"/>
      <c r="T64" s="67" t="n"/>
      <c r="U64" s="471" t="n"/>
      <c r="V64" s="67" t="n"/>
      <c r="W64" s="515" t="n">
        <v>25.757</v>
      </c>
      <c r="X64" s="515">
        <f>3-1.1</f>
        <v/>
      </c>
      <c r="Y64" s="515">
        <f>3-1.1</f>
        <v/>
      </c>
      <c r="Z64" s="515">
        <f>3-1.1</f>
        <v/>
      </c>
      <c r="AA64" s="515">
        <f>3-1.1</f>
        <v/>
      </c>
      <c r="AB64" s="515">
        <f>3-1.1</f>
        <v/>
      </c>
      <c r="AC64" s="515">
        <f>3-1.1</f>
        <v/>
      </c>
      <c r="AD64" s="515">
        <f>3-1.1</f>
        <v/>
      </c>
      <c r="AE64" s="515">
        <f>3-1.1</f>
        <v/>
      </c>
      <c r="AF64" s="515">
        <f>3-1.1</f>
        <v/>
      </c>
      <c r="AG64" s="515">
        <f>3-1.1</f>
        <v/>
      </c>
      <c r="AH64" s="515">
        <f>3-1.1</f>
        <v/>
      </c>
      <c r="AI64" s="515">
        <f>3-1.1</f>
        <v/>
      </c>
      <c r="AJ64" s="515">
        <f>3-1.1</f>
        <v/>
      </c>
      <c r="AK64" s="515">
        <f>3-1.1</f>
        <v/>
      </c>
      <c r="AL64" s="515">
        <f>3-1.1</f>
        <v/>
      </c>
      <c r="AM64" s="515">
        <f>3.1-1.1</f>
        <v/>
      </c>
      <c r="AN64" s="515" t="n">
        <v>2.5</v>
      </c>
    </row>
    <row r="65" hidden="1" s="1227">
      <c r="A65" s="421" t="inlineStr">
        <is>
          <t>мат.</t>
        </is>
      </c>
      <c r="B65" s="421" t="inlineStr">
        <is>
          <t>13АВ-РД-АР1.1-К4</t>
        </is>
      </c>
      <c r="C65" s="453" t="n">
        <v>45846</v>
      </c>
      <c r="D65" s="421" t="inlineStr">
        <is>
          <t>Кладка</t>
        </is>
      </c>
      <c r="E65" s="67" t="n"/>
      <c r="F65" s="487" t="inlineStr">
        <is>
          <t>Внутренние стены D600 250 мм</t>
        </is>
      </c>
      <c r="G65" s="421" t="n">
        <v>4</v>
      </c>
      <c r="H65" s="67" t="n"/>
      <c r="I65" s="67" t="n"/>
      <c r="J65" s="419" t="n"/>
      <c r="K65" s="544" t="inlineStr">
        <is>
          <t>Герметик виброакустический Сонетик (Sonetik) Силикон</t>
        </is>
      </c>
      <c r="L65" s="421" t="n"/>
      <c r="M65" s="540" t="n"/>
      <c r="N65" s="421" t="n"/>
      <c r="O65" s="421" t="n"/>
      <c r="P65" s="421" t="n"/>
      <c r="Q65" s="456" t="n"/>
      <c r="R65" s="421" t="inlineStr">
        <is>
          <t>кг</t>
        </is>
      </c>
      <c r="S65" s="67" t="n"/>
      <c r="T65" s="67" t="n"/>
      <c r="U65" s="471" t="n"/>
      <c r="V65" s="67" t="n"/>
      <c r="W65" s="557" t="n"/>
      <c r="X65" s="557" t="n"/>
      <c r="Y65" s="557" t="n"/>
      <c r="Z65" s="557" t="n"/>
      <c r="AA65" s="557" t="n"/>
      <c r="AB65" s="557" t="n"/>
      <c r="AC65" s="557" t="n"/>
      <c r="AD65" s="557" t="n"/>
      <c r="AE65" s="557" t="n"/>
      <c r="AF65" s="557" t="n"/>
      <c r="AG65" s="557" t="n"/>
      <c r="AH65" s="557" t="n"/>
      <c r="AI65" s="557" t="n"/>
      <c r="AJ65" s="557" t="n"/>
      <c r="AK65" s="557" t="n"/>
      <c r="AL65" s="557" t="n"/>
      <c r="AM65" s="557" t="n"/>
      <c r="AN65" s="557" t="n"/>
    </row>
    <row r="66" hidden="1" s="1227">
      <c r="A66" s="421" t="inlineStr">
        <is>
          <t>мат.</t>
        </is>
      </c>
      <c r="B66" s="421" t="inlineStr">
        <is>
          <t>13АВ-РД-АР1.1-К4</t>
        </is>
      </c>
      <c r="C66" s="453" t="n">
        <v>45846</v>
      </c>
      <c r="D66" s="421" t="inlineStr">
        <is>
          <t>Кладка</t>
        </is>
      </c>
      <c r="E66" s="421" t="inlineStr">
        <is>
          <t>БАЗА</t>
        </is>
      </c>
      <c r="F66" s="487" t="inlineStr">
        <is>
          <t>Внутренние стены D600 300 мм</t>
        </is>
      </c>
      <c r="G66" s="67" t="n">
        <v>4</v>
      </c>
      <c r="H66" s="67" t="n"/>
      <c r="I66" s="67" t="n"/>
      <c r="J66" s="419" t="n"/>
      <c r="K66" s="549" t="inlineStr">
        <is>
          <t>СВ-1.0 Внутренняя стена из газобетонных блоков, толщиной 300мм, D600 на клеевом растворе М100</t>
        </is>
      </c>
      <c r="L66" s="358" t="n"/>
      <c r="M66" s="67" t="n"/>
      <c r="N66" s="67" t="n"/>
      <c r="O66" s="67" t="n"/>
      <c r="P66" s="67" t="n"/>
      <c r="Q66" s="413" t="n"/>
      <c r="R66" s="67" t="n"/>
      <c r="S66" s="67" t="n"/>
      <c r="T66" s="67" t="n"/>
      <c r="U66" s="487" t="inlineStr">
        <is>
          <t>Виброзащита подушки под стену СВ-1.0</t>
        </is>
      </c>
      <c r="V66" s="67" t="n"/>
      <c r="W66" s="557" t="n"/>
      <c r="X66" s="557" t="n"/>
      <c r="Y66" s="557" t="n"/>
      <c r="Z66" s="557" t="n"/>
      <c r="AA66" s="557" t="n"/>
      <c r="AB66" s="557" t="n"/>
      <c r="AC66" s="557" t="n"/>
      <c r="AD66" s="557" t="n"/>
      <c r="AE66" s="557" t="n"/>
      <c r="AF66" s="557" t="n"/>
      <c r="AG66" s="557" t="n"/>
      <c r="AH66" s="557" t="n"/>
      <c r="AI66" s="557" t="n"/>
      <c r="AJ66" s="557" t="n"/>
      <c r="AK66" s="557" t="n"/>
      <c r="AL66" s="557" t="n"/>
      <c r="AM66" s="557" t="n"/>
      <c r="AN66" s="557" t="n"/>
    </row>
    <row r="67">
      <c r="A67" s="421" t="inlineStr">
        <is>
          <t>мат.</t>
        </is>
      </c>
      <c r="B67" s="421" t="inlineStr">
        <is>
          <t>13АВ-РД-АР1.1-К4</t>
        </is>
      </c>
      <c r="C67" s="453" t="n">
        <v>45846</v>
      </c>
      <c r="D67" s="421" t="inlineStr">
        <is>
          <t>Кладка</t>
        </is>
      </c>
      <c r="E67" s="67" t="n"/>
      <c r="F67" s="487" t="inlineStr">
        <is>
          <t>Внутренние стены D600 300 мм</t>
        </is>
      </c>
      <c r="G67" s="67" t="n">
        <v>4</v>
      </c>
      <c r="H67" s="67" t="n"/>
      <c r="I67" s="67" t="n"/>
      <c r="J67" s="419" t="n"/>
      <c r="K67" s="454" t="inlineStr">
        <is>
          <t>Лента вибродемпфирующая СтопЗвук V 150х4</t>
        </is>
      </c>
      <c r="L67" s="421" t="n"/>
      <c r="M67" s="540" t="n"/>
      <c r="N67" s="515">
        <f>SUM(W67:AN67)</f>
        <v/>
      </c>
      <c r="O67" s="421" t="n"/>
      <c r="P67" s="421" t="n"/>
      <c r="Q67" s="456" t="n"/>
      <c r="R67" s="421" t="inlineStr">
        <is>
          <t>м.п</t>
        </is>
      </c>
      <c r="S67" s="67" t="n"/>
      <c r="T67" s="67" t="n"/>
      <c r="U67" s="471" t="n"/>
      <c r="V67" s="67" t="n"/>
      <c r="W67" s="515" t="n">
        <v>2.609</v>
      </c>
      <c r="X67" s="515" t="n">
        <v>0</v>
      </c>
      <c r="Y67" s="515" t="n">
        <v>0</v>
      </c>
      <c r="Z67" s="515" t="n">
        <v>0</v>
      </c>
      <c r="AA67" s="515" t="n">
        <v>0</v>
      </c>
      <c r="AB67" s="515" t="n">
        <v>0</v>
      </c>
      <c r="AC67" s="515" t="n">
        <v>0</v>
      </c>
      <c r="AD67" s="515" t="n">
        <v>0</v>
      </c>
      <c r="AE67" s="515" t="n">
        <v>0</v>
      </c>
      <c r="AF67" s="515" t="n">
        <v>0</v>
      </c>
      <c r="AG67" s="515" t="n">
        <v>0</v>
      </c>
      <c r="AH67" s="515" t="n">
        <v>0</v>
      </c>
      <c r="AI67" s="515" t="n">
        <v>0</v>
      </c>
      <c r="AJ67" s="515" t="n">
        <v>0</v>
      </c>
      <c r="AK67" s="515" t="n">
        <v>0</v>
      </c>
      <c r="AL67" s="515" t="n">
        <v>0</v>
      </c>
      <c r="AM67" s="515" t="n">
        <v>0</v>
      </c>
      <c r="AN67" s="515" t="n">
        <v>0</v>
      </c>
    </row>
    <row r="68" hidden="1" s="1227">
      <c r="A68" s="421" t="inlineStr">
        <is>
          <t>мат.</t>
        </is>
      </c>
      <c r="B68" s="421" t="inlineStr">
        <is>
          <t>13АВ-РД-АР1.1-К4</t>
        </is>
      </c>
      <c r="C68" s="453" t="n">
        <v>45846</v>
      </c>
      <c r="D68" s="421" t="inlineStr">
        <is>
          <t>Кладка</t>
        </is>
      </c>
      <c r="E68" s="67" t="n"/>
      <c r="F68" s="487" t="inlineStr">
        <is>
          <t>Внутренние стены D600 300 мм</t>
        </is>
      </c>
      <c r="G68" s="67" t="n">
        <v>4</v>
      </c>
      <c r="H68" s="67" t="n"/>
      <c r="I68" s="67" t="n"/>
      <c r="J68" s="419" t="n"/>
      <c r="K68" s="544" t="inlineStr">
        <is>
          <t>Герметик виброакустический Сонетик (Sonetik) Силикон</t>
        </is>
      </c>
      <c r="L68" s="421" t="n"/>
      <c r="M68" s="540" t="n"/>
      <c r="N68" s="421" t="n"/>
      <c r="O68" s="421" t="n"/>
      <c r="P68" s="421" t="n"/>
      <c r="Q68" s="456" t="n"/>
      <c r="R68" s="421" t="inlineStr">
        <is>
          <t>кг</t>
        </is>
      </c>
      <c r="S68" s="67" t="n"/>
      <c r="T68" s="67" t="n"/>
      <c r="U68" s="471" t="n"/>
      <c r="V68" s="67" t="n"/>
      <c r="W68" s="557" t="n"/>
      <c r="X68" s="557" t="n"/>
      <c r="Y68" s="557" t="n"/>
      <c r="Z68" s="557" t="n"/>
      <c r="AA68" s="557" t="n"/>
      <c r="AB68" s="557" t="n"/>
      <c r="AC68" s="557" t="n"/>
      <c r="AD68" s="557" t="n"/>
      <c r="AE68" s="557" t="n"/>
      <c r="AF68" s="557" t="n"/>
      <c r="AG68" s="557" t="n"/>
      <c r="AH68" s="557" t="n"/>
      <c r="AI68" s="557" t="n"/>
      <c r="AJ68" s="557" t="n"/>
      <c r="AK68" s="557" t="n"/>
      <c r="AL68" s="557" t="n"/>
      <c r="AM68" s="557" t="n"/>
      <c r="AN68" s="557" t="n"/>
    </row>
    <row r="69" hidden="1" s="1227">
      <c r="A69" s="421" t="inlineStr">
        <is>
          <t>мат.</t>
        </is>
      </c>
      <c r="B69" s="421" t="inlineStr">
        <is>
          <t>13АВ-РД-АР1.1-К4</t>
        </is>
      </c>
      <c r="C69" s="453" t="n">
        <v>45846</v>
      </c>
      <c r="D69" s="421" t="inlineStr">
        <is>
          <t>Кладка</t>
        </is>
      </c>
      <c r="E69" s="421" t="inlineStr">
        <is>
          <t>БАЗА</t>
        </is>
      </c>
      <c r="F69" s="487" t="inlineStr">
        <is>
          <t>Перегородки из влагостойких ПСП</t>
        </is>
      </c>
      <c r="G69" s="421" t="n">
        <v>4</v>
      </c>
      <c r="H69" s="67" t="n"/>
      <c r="I69" s="67" t="n"/>
      <c r="J69" s="419" t="n"/>
      <c r="K69" s="563" t="inlineStr">
        <is>
          <t>СВ-2.1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69" s="358" t="n"/>
      <c r="M69" s="358" t="n"/>
      <c r="N69" s="358" t="n"/>
      <c r="O69" s="358" t="n"/>
      <c r="P69" s="358" t="n"/>
      <c r="Q69" s="358" t="n"/>
      <c r="R69" s="67" t="n"/>
      <c r="S69" s="358" t="n"/>
      <c r="T69" s="358" t="n"/>
      <c r="U69" s="487" t="inlineStr">
        <is>
          <t>Виброзащита подушки под стену СВ-2.1</t>
        </is>
      </c>
      <c r="V69" s="358" t="n"/>
      <c r="W69" s="557" t="n"/>
      <c r="X69" s="557" t="n"/>
      <c r="Y69" s="557" t="n"/>
      <c r="Z69" s="557" t="n"/>
      <c r="AA69" s="557" t="n"/>
      <c r="AB69" s="557" t="n"/>
      <c r="AC69" s="557" t="n"/>
      <c r="AD69" s="557" t="n"/>
      <c r="AE69" s="557" t="n"/>
      <c r="AF69" s="557" t="n"/>
      <c r="AG69" s="557" t="n"/>
      <c r="AH69" s="557" t="n"/>
      <c r="AI69" s="557" t="n"/>
      <c r="AJ69" s="557" t="n"/>
      <c r="AK69" s="557" t="n"/>
      <c r="AL69" s="557" t="n"/>
      <c r="AM69" s="557" t="n"/>
      <c r="AN69" s="557" t="n"/>
    </row>
    <row r="70">
      <c r="A70" s="421" t="inlineStr">
        <is>
          <t>мат.</t>
        </is>
      </c>
      <c r="B70" s="421" t="inlineStr">
        <is>
          <t>13АВ-РД-АР1.1-К4</t>
        </is>
      </c>
      <c r="C70" s="453" t="n">
        <v>45846</v>
      </c>
      <c r="D70" s="421" t="inlineStr">
        <is>
          <t>Кладка</t>
        </is>
      </c>
      <c r="E70" s="67" t="n"/>
      <c r="F70" s="487" t="inlineStr">
        <is>
          <t>Перегородки из влагостойких ПСП</t>
        </is>
      </c>
      <c r="G70" s="421" t="n">
        <v>4</v>
      </c>
      <c r="H70" s="67" t="n"/>
      <c r="I70" s="67" t="n"/>
      <c r="J70" s="419" t="n"/>
      <c r="K70" s="454" t="inlineStr">
        <is>
          <t>Лента вибродемпфирующая СтопЗвук V 150х4</t>
        </is>
      </c>
      <c r="L70" s="421" t="n"/>
      <c r="M70" s="540" t="n"/>
      <c r="N70" s="421">
        <f>SUM(W70:AN70)</f>
        <v/>
      </c>
      <c r="O70" s="421" t="n"/>
      <c r="P70" s="421" t="n"/>
      <c r="Q70" s="456" t="n"/>
      <c r="R70" s="421" t="inlineStr">
        <is>
          <t>м.п</t>
        </is>
      </c>
      <c r="S70" s="358" t="n"/>
      <c r="T70" s="358" t="n"/>
      <c r="U70" s="375" t="n"/>
      <c r="V70" s="358" t="n"/>
      <c r="W70" s="381" t="n">
        <v>0</v>
      </c>
      <c r="X70" s="456">
        <f>69.085-(0.8*14)</f>
        <v/>
      </c>
      <c r="Y70" s="456">
        <f>69.085-(15*0.8)</f>
        <v/>
      </c>
      <c r="Z70" s="456">
        <f>69.085-(15*0.8)</f>
        <v/>
      </c>
      <c r="AA70" s="456">
        <f>69.085-(15*0.8)</f>
        <v/>
      </c>
      <c r="AB70" s="456">
        <f>69.085-(15*0.8)</f>
        <v/>
      </c>
      <c r="AC70" s="456">
        <f>69.085-(15*0.8)</f>
        <v/>
      </c>
      <c r="AD70" s="456">
        <f>69.085-(15*0.8)</f>
        <v/>
      </c>
      <c r="AE70" s="456">
        <f>69.085-(15*0.8)</f>
        <v/>
      </c>
      <c r="AF70" s="456">
        <f>69.085-(15*0.8)</f>
        <v/>
      </c>
      <c r="AG70" s="456">
        <f>69.085-(15*0.8)</f>
        <v/>
      </c>
      <c r="AH70" s="456">
        <f>69.085-(15*0.8)</f>
        <v/>
      </c>
      <c r="AI70" s="456">
        <f>69.085-(15*0.8)</f>
        <v/>
      </c>
      <c r="AJ70" s="456">
        <f>69.085-(15*0.8)</f>
        <v/>
      </c>
      <c r="AK70" s="456">
        <f>69.085-(15*0.8)</f>
        <v/>
      </c>
      <c r="AL70" s="456">
        <f>69.085-(15*0.8)</f>
        <v/>
      </c>
      <c r="AM70" s="456">
        <f>72.725-(16*0.8)</f>
        <v/>
      </c>
      <c r="AN70" s="456">
        <f>73.575-(15*0.8)</f>
        <v/>
      </c>
    </row>
    <row r="71" hidden="1" s="1227">
      <c r="A71" s="421" t="inlineStr">
        <is>
          <t>мат.</t>
        </is>
      </c>
      <c r="B71" s="421" t="inlineStr">
        <is>
          <t>13АВ-РД-АР1.1-К4</t>
        </is>
      </c>
      <c r="C71" s="453" t="n">
        <v>45846</v>
      </c>
      <c r="D71" s="421" t="inlineStr">
        <is>
          <t>Кладка</t>
        </is>
      </c>
      <c r="E71" s="67" t="n"/>
      <c r="F71" s="487" t="inlineStr">
        <is>
          <t>Перегородки из влагостойких ПСП</t>
        </is>
      </c>
      <c r="G71" s="67" t="n"/>
      <c r="H71" s="67" t="n"/>
      <c r="I71" s="67" t="n"/>
      <c r="J71" s="419" t="n"/>
      <c r="K71" s="544" t="inlineStr">
        <is>
          <t>Герметик виброакустический Сонетик (Sonetik) Силикон</t>
        </is>
      </c>
      <c r="L71" s="421" t="n"/>
      <c r="M71" s="540" t="n"/>
      <c r="N71" s="421" t="n"/>
      <c r="O71" s="421" t="n"/>
      <c r="P71" s="421" t="n"/>
      <c r="Q71" s="456" t="n"/>
      <c r="R71" s="421" t="inlineStr">
        <is>
          <t>кг</t>
        </is>
      </c>
      <c r="S71" s="413" t="n"/>
      <c r="T71" s="413" t="n"/>
      <c r="U71" s="413" t="n"/>
      <c r="V71" s="413" t="n"/>
      <c r="W71" s="413" t="n"/>
      <c r="X71" s="413" t="n"/>
      <c r="Y71" s="413" t="n"/>
      <c r="Z71" s="413" t="n"/>
      <c r="AA71" s="413" t="n"/>
      <c r="AB71" s="413" t="n"/>
      <c r="AC71" s="413" t="n"/>
      <c r="AD71" s="413" t="n"/>
      <c r="AE71" s="413" t="n"/>
      <c r="AF71" s="413" t="n"/>
      <c r="AG71" s="413" t="n"/>
      <c r="AH71" s="413" t="n"/>
      <c r="AI71" s="413" t="n"/>
      <c r="AJ71" s="413" t="n"/>
      <c r="AK71" s="413" t="n"/>
      <c r="AL71" s="413" t="n"/>
      <c r="AM71" s="413" t="n"/>
      <c r="AN71" s="413" t="n"/>
    </row>
    <row r="72" hidden="1" s="1227">
      <c r="A72" s="421" t="inlineStr">
        <is>
          <t>мат.</t>
        </is>
      </c>
      <c r="B72" s="421" t="inlineStr">
        <is>
          <t>13АВ-РД-АР1.1-К4</t>
        </is>
      </c>
      <c r="C72" s="453" t="n">
        <v>45846</v>
      </c>
      <c r="D72" s="421" t="inlineStr">
        <is>
          <t>Кладка</t>
        </is>
      </c>
      <c r="E72" s="421" t="inlineStr">
        <is>
          <t>БАЗА</t>
        </is>
      </c>
      <c r="F72" s="487" t="inlineStr">
        <is>
          <t>Перегородки из влагостойких ПСП</t>
        </is>
      </c>
      <c r="G72" s="67" t="n">
        <v>4</v>
      </c>
      <c r="H72" s="67" t="n"/>
      <c r="I72" s="67" t="n"/>
      <c r="J72" s="419" t="n"/>
      <c r="K72" s="469" t="inlineStr">
        <is>
          <t>СВ-2.2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72" s="358" t="n"/>
      <c r="M72" s="358" t="n"/>
      <c r="N72" s="358" t="n"/>
      <c r="O72" s="358" t="n"/>
      <c r="P72" s="358" t="n"/>
      <c r="Q72" s="364" t="n"/>
      <c r="R72" s="358" t="n"/>
      <c r="S72" s="358" t="n"/>
      <c r="T72" s="358" t="n"/>
      <c r="U72" s="487" t="inlineStr">
        <is>
          <t>Виброзащита подушки под стену СВ-2.2</t>
        </is>
      </c>
      <c r="V72" s="358" t="n"/>
      <c r="W72" s="413" t="n"/>
      <c r="X72" s="413" t="n"/>
      <c r="Y72" s="413" t="n"/>
      <c r="Z72" s="413" t="n"/>
      <c r="AA72" s="413" t="n"/>
      <c r="AB72" s="413" t="n"/>
      <c r="AC72" s="413" t="n"/>
      <c r="AD72" s="413" t="n"/>
      <c r="AE72" s="413" t="n"/>
      <c r="AF72" s="413" t="n"/>
      <c r="AG72" s="413" t="n"/>
      <c r="AH72" s="413" t="n"/>
      <c r="AI72" s="413" t="n"/>
      <c r="AJ72" s="413" t="n"/>
      <c r="AK72" s="413" t="n"/>
      <c r="AL72" s="413" t="n"/>
      <c r="AM72" s="413" t="n"/>
      <c r="AN72" s="413" t="n"/>
    </row>
    <row r="73" hidden="1" s="1227">
      <c r="A73" s="67" t="n"/>
      <c r="B73" s="67" t="n"/>
      <c r="C73" s="380" t="n"/>
      <c r="D73" s="67" t="n"/>
      <c r="E73" s="67" t="n"/>
      <c r="F73" s="471" t="n"/>
      <c r="G73" s="67" t="n"/>
      <c r="H73" s="67" t="n"/>
      <c r="I73" s="67" t="n"/>
      <c r="J73" s="419" t="n"/>
      <c r="K73" s="555" t="n"/>
      <c r="L73" s="358" t="n"/>
      <c r="M73" s="358" t="n"/>
      <c r="N73" s="358" t="n"/>
      <c r="O73" s="358" t="n"/>
      <c r="P73" s="358" t="n"/>
      <c r="Q73" s="358" t="n"/>
      <c r="R73" s="67" t="n"/>
      <c r="S73" s="358" t="n"/>
      <c r="T73" s="358" t="n"/>
      <c r="U73" s="358" t="n"/>
      <c r="V73" s="358" t="n"/>
      <c r="W73" s="505" t="n">
        <v>0</v>
      </c>
      <c r="X73" s="505">
        <f>70.89-(11*0.9)</f>
        <v/>
      </c>
      <c r="Y73" s="505">
        <f>70.89-(13*0.9)</f>
        <v/>
      </c>
      <c r="Z73" s="505">
        <f>70.89-(13*0.9)</f>
        <v/>
      </c>
      <c r="AA73" s="505">
        <f>70.89-(13*0.9)</f>
        <v/>
      </c>
      <c r="AB73" s="505">
        <f>70.89-(13*0.9)</f>
        <v/>
      </c>
      <c r="AC73" s="505">
        <f>70.89-(13*0.9)</f>
        <v/>
      </c>
      <c r="AD73" s="505">
        <f>70.89-(13*0.9)</f>
        <v/>
      </c>
      <c r="AE73" s="505">
        <f>70.89-(13*0.9)</f>
        <v/>
      </c>
      <c r="AF73" s="505">
        <f>70.89-(13*0.9)</f>
        <v/>
      </c>
      <c r="AG73" s="505">
        <f>70.89-(13*0.9)</f>
        <v/>
      </c>
      <c r="AH73" s="505">
        <f>70.89-(13*0.9)</f>
        <v/>
      </c>
      <c r="AI73" s="505">
        <f>70.89-(13*0.9)</f>
        <v/>
      </c>
      <c r="AJ73" s="505">
        <f>70.89-(13*0.9)</f>
        <v/>
      </c>
      <c r="AK73" s="505">
        <f>70.89-(13*0.9)</f>
        <v/>
      </c>
      <c r="AL73" s="505">
        <f>70.89-(13*0.9)</f>
        <v/>
      </c>
      <c r="AM73" s="505">
        <f>73.785-(13*0.9)</f>
        <v/>
      </c>
      <c r="AN73" s="505">
        <f>77.205-(13*0.9)</f>
        <v/>
      </c>
    </row>
    <row r="74">
      <c r="A74" s="67" t="n"/>
      <c r="B74" s="67" t="n"/>
      <c r="C74" s="380" t="n"/>
      <c r="D74" s="67" t="n"/>
      <c r="E74" s="67" t="n"/>
      <c r="F74" s="471" t="n"/>
      <c r="G74" s="67" t="n"/>
      <c r="H74" s="67" t="n"/>
      <c r="I74" s="67" t="n"/>
      <c r="J74" s="419" t="n"/>
      <c r="K74" s="555" t="n"/>
      <c r="L74" s="358" t="n"/>
      <c r="M74" s="358" t="n"/>
      <c r="N74" s="364" t="n"/>
      <c r="O74" s="358" t="n"/>
      <c r="P74" s="358" t="n"/>
      <c r="Q74" s="364" t="n"/>
      <c r="R74" s="358" t="n"/>
      <c r="S74" s="358" t="n"/>
      <c r="T74" s="358" t="n"/>
      <c r="U74" s="375" t="n"/>
      <c r="V74" s="358" t="n"/>
      <c r="W74" s="413" t="n"/>
      <c r="X74" s="413" t="n"/>
      <c r="Y74" s="413" t="n"/>
      <c r="Z74" s="413" t="n"/>
      <c r="AA74" s="413" t="n"/>
      <c r="AB74" s="413" t="n"/>
      <c r="AC74" s="413" t="n"/>
      <c r="AD74" s="413" t="n"/>
      <c r="AE74" s="413" t="n"/>
      <c r="AF74" s="413" t="n"/>
      <c r="AG74" s="413" t="n"/>
      <c r="AH74" s="413" t="n"/>
      <c r="AI74" s="413" t="n"/>
      <c r="AJ74" s="413" t="n"/>
      <c r="AK74" s="413" t="n"/>
      <c r="AL74" s="413" t="n"/>
      <c r="AM74" s="413" t="n"/>
      <c r="AN74" s="413" t="n"/>
    </row>
    <row r="75">
      <c r="A75" s="67" t="n"/>
      <c r="B75" s="67" t="n"/>
      <c r="C75" s="380" t="n"/>
      <c r="D75" s="67" t="n"/>
      <c r="E75" s="67" t="n"/>
      <c r="F75" s="471" t="n"/>
      <c r="G75" s="67" t="n"/>
      <c r="H75" s="67" t="n"/>
      <c r="I75" s="67" t="n"/>
      <c r="J75" s="419" t="n"/>
      <c r="K75" s="556" t="n"/>
      <c r="L75" s="358" t="n"/>
      <c r="M75" s="358" t="n"/>
      <c r="N75" s="358" t="n"/>
      <c r="O75" s="358" t="n"/>
      <c r="P75" s="358" t="n"/>
      <c r="Q75" s="358" t="n"/>
      <c r="R75" s="358" t="n"/>
      <c r="S75" s="358" t="n"/>
      <c r="T75" s="358" t="n"/>
      <c r="U75" s="358" t="n"/>
      <c r="V75" s="358" t="n"/>
      <c r="W75" s="358" t="n"/>
      <c r="X75" s="413" t="n"/>
      <c r="Y75" s="413" t="n"/>
      <c r="Z75" s="413" t="n"/>
      <c r="AA75" s="413" t="n"/>
      <c r="AB75" s="413" t="n"/>
      <c r="AC75" s="413" t="n"/>
      <c r="AD75" s="413" t="n"/>
      <c r="AE75" s="413" t="n"/>
      <c r="AF75" s="413" t="n"/>
      <c r="AG75" s="413" t="n"/>
      <c r="AH75" s="413" t="n"/>
      <c r="AI75" s="413" t="n"/>
      <c r="AJ75" s="413" t="n"/>
      <c r="AK75" s="413" t="n"/>
      <c r="AL75" s="413" t="n"/>
      <c r="AM75" s="413" t="n"/>
      <c r="AN75" s="413" t="n"/>
    </row>
    <row r="76">
      <c r="A76" s="67" t="n"/>
      <c r="B76" s="67" t="n"/>
      <c r="C76" s="380" t="n"/>
      <c r="D76" s="67" t="n"/>
      <c r="E76" s="67" t="n"/>
      <c r="F76" s="471" t="n"/>
      <c r="G76" s="67" t="n"/>
      <c r="H76" s="67" t="n"/>
      <c r="I76" s="67" t="n"/>
      <c r="J76" s="419" t="n"/>
      <c r="K76" s="555" t="n"/>
      <c r="L76" s="358" t="n"/>
      <c r="M76" s="358" t="n"/>
      <c r="N76" s="358" t="n"/>
      <c r="O76" s="358" t="n"/>
      <c r="P76" s="358" t="n"/>
      <c r="Q76" s="364" t="n"/>
      <c r="R76" s="358" t="n"/>
      <c r="S76" s="358" t="n"/>
      <c r="T76" s="358" t="n"/>
      <c r="U76" s="375" t="n"/>
      <c r="V76" s="358" t="n"/>
      <c r="W76" s="413" t="n"/>
      <c r="X76" s="413" t="n"/>
      <c r="Y76" s="413" t="n"/>
      <c r="Z76" s="413" t="n"/>
      <c r="AA76" s="413" t="n"/>
      <c r="AB76" s="413" t="n"/>
      <c r="AC76" s="413" t="n"/>
      <c r="AD76" s="413" t="n"/>
      <c r="AE76" s="413" t="n"/>
      <c r="AF76" s="413" t="n"/>
      <c r="AG76" s="413" t="n"/>
      <c r="AH76" s="413" t="n"/>
      <c r="AI76" s="413" t="n"/>
      <c r="AJ76" s="413" t="n"/>
      <c r="AK76" s="413" t="n"/>
      <c r="AL76" s="413" t="n"/>
      <c r="AM76" s="413" t="n"/>
      <c r="AN76" s="413" t="n"/>
    </row>
    <row r="77">
      <c r="A77" s="67" t="n"/>
      <c r="B77" s="67" t="n"/>
      <c r="C77" s="380" t="n"/>
      <c r="D77" s="67" t="n"/>
      <c r="E77" s="67" t="n"/>
      <c r="F77" s="471" t="n"/>
      <c r="G77" s="67" t="n"/>
      <c r="H77" s="67" t="n"/>
      <c r="I77" s="67" t="n"/>
      <c r="J77" s="419" t="n"/>
      <c r="K77" s="563" t="n"/>
      <c r="L77" s="358" t="n"/>
      <c r="M77" s="358" t="n"/>
      <c r="N77" s="358" t="n"/>
      <c r="O77" s="358" t="n"/>
      <c r="P77" s="358" t="n"/>
      <c r="Q77" s="358" t="n"/>
      <c r="R77" s="358" t="n"/>
      <c r="S77" s="358" t="n"/>
      <c r="T77" s="358" t="n"/>
      <c r="U77" s="358" t="n"/>
      <c r="V77" s="358" t="n"/>
      <c r="W77" s="358" t="n"/>
      <c r="X77" s="557" t="n"/>
      <c r="Y77" s="557" t="n"/>
      <c r="Z77" s="557" t="n"/>
      <c r="AA77" s="557" t="n"/>
      <c r="AB77" s="557" t="n"/>
      <c r="AC77" s="557" t="n"/>
      <c r="AD77" s="557" t="n"/>
      <c r="AE77" s="557" t="n"/>
      <c r="AF77" s="557" t="n"/>
      <c r="AG77" s="557" t="n"/>
      <c r="AH77" s="557" t="n"/>
      <c r="AI77" s="557" t="n"/>
      <c r="AJ77" s="557" t="n"/>
      <c r="AK77" s="557" t="n"/>
      <c r="AL77" s="557" t="n"/>
      <c r="AM77" s="557" t="n"/>
      <c r="AN77" s="557" t="n"/>
    </row>
    <row r="78">
      <c r="A78" s="67" t="n"/>
      <c r="B78" s="67" t="n"/>
      <c r="C78" s="380" t="n"/>
      <c r="D78" s="67" t="n"/>
      <c r="E78" s="67" t="n"/>
      <c r="F78" s="471" t="n"/>
      <c r="G78" s="67" t="n"/>
      <c r="H78" s="67" t="n"/>
      <c r="I78" s="67" t="n"/>
      <c r="J78" s="419" t="n"/>
      <c r="K78" s="555" t="n"/>
      <c r="L78" s="358" t="n"/>
      <c r="M78" s="358" t="n"/>
      <c r="N78" s="527" t="n"/>
      <c r="O78" s="358" t="n"/>
      <c r="P78" s="358" t="n"/>
      <c r="Q78" s="364" t="n"/>
      <c r="R78" s="358" t="n"/>
      <c r="S78" s="358" t="n"/>
      <c r="T78" s="358" t="n"/>
      <c r="U78" s="375" t="n"/>
      <c r="V78" s="358" t="n"/>
      <c r="W78" s="557" t="n"/>
      <c r="X78" s="557" t="n"/>
      <c r="Y78" s="557" t="n"/>
      <c r="Z78" s="557" t="n"/>
      <c r="AA78" s="557" t="n"/>
      <c r="AB78" s="557" t="n"/>
      <c r="AC78" s="557" t="n"/>
      <c r="AD78" s="557" t="n"/>
      <c r="AE78" s="557" t="n"/>
      <c r="AF78" s="557" t="n"/>
      <c r="AG78" s="557" t="n"/>
      <c r="AH78" s="557" t="n"/>
      <c r="AI78" s="557" t="n"/>
      <c r="AJ78" s="557" t="n"/>
      <c r="AK78" s="557" t="n"/>
      <c r="AL78" s="557" t="n"/>
      <c r="AM78" s="557" t="n"/>
      <c r="AN78" s="557" t="n"/>
    </row>
    <row r="79">
      <c r="A79" s="67" t="n"/>
      <c r="B79" s="67" t="n"/>
      <c r="C79" s="380" t="n"/>
      <c r="D79" s="67" t="n"/>
      <c r="E79" s="67" t="n"/>
      <c r="F79" s="471" t="n"/>
      <c r="G79" s="67" t="n"/>
      <c r="H79" s="67" t="n"/>
      <c r="I79" s="67" t="n"/>
      <c r="J79" s="419" t="n"/>
      <c r="K79" s="555" t="n"/>
      <c r="L79" s="358" t="n"/>
      <c r="M79" s="358" t="n"/>
      <c r="N79" s="364" t="n"/>
      <c r="O79" s="358" t="n"/>
      <c r="P79" s="358" t="n"/>
      <c r="Q79" s="364" t="n"/>
      <c r="R79" s="358" t="n"/>
      <c r="S79" s="358" t="n"/>
      <c r="T79" s="358" t="n"/>
      <c r="U79" s="375" t="n"/>
      <c r="V79" s="358" t="n"/>
      <c r="W79" s="413" t="n"/>
      <c r="X79" s="413" t="n"/>
      <c r="Y79" s="413" t="n"/>
      <c r="Z79" s="413" t="n"/>
      <c r="AA79" s="413" t="n"/>
      <c r="AB79" s="413" t="n"/>
      <c r="AC79" s="413" t="n"/>
      <c r="AD79" s="413" t="n"/>
      <c r="AE79" s="413" t="n"/>
      <c r="AF79" s="413" t="n"/>
      <c r="AG79" s="413" t="n"/>
      <c r="AH79" s="413" t="n"/>
      <c r="AI79" s="413" t="n"/>
      <c r="AJ79" s="413" t="n"/>
      <c r="AK79" s="413" t="n"/>
      <c r="AL79" s="413" t="n"/>
      <c r="AM79" s="413" t="n"/>
      <c r="AN79" s="413" t="n"/>
    </row>
    <row r="80">
      <c r="A80" s="67" t="n"/>
      <c r="B80" s="67" t="n"/>
      <c r="C80" s="380" t="n"/>
      <c r="D80" s="67" t="n"/>
      <c r="E80" s="67" t="n"/>
      <c r="F80" s="471" t="n"/>
      <c r="G80" s="67" t="n"/>
      <c r="H80" s="67" t="n"/>
      <c r="I80" s="67" t="n"/>
      <c r="J80" s="419" t="n"/>
      <c r="K80" s="555" t="n"/>
      <c r="L80" s="358" t="n"/>
      <c r="M80" s="358" t="n"/>
      <c r="N80" s="358" t="n"/>
      <c r="O80" s="358" t="n"/>
      <c r="P80" s="358" t="n"/>
      <c r="Q80" s="364" t="n"/>
      <c r="R80" s="358" t="n"/>
      <c r="S80" s="358" t="n"/>
      <c r="T80" s="358" t="n"/>
      <c r="U80" s="375" t="n"/>
      <c r="V80" s="358" t="n"/>
      <c r="W80" s="413" t="n"/>
      <c r="X80" s="413" t="n"/>
      <c r="Y80" s="413" t="n"/>
      <c r="Z80" s="413" t="n"/>
      <c r="AA80" s="413" t="n"/>
      <c r="AB80" s="413" t="n"/>
      <c r="AC80" s="413" t="n"/>
      <c r="AD80" s="413" t="n"/>
      <c r="AE80" s="413" t="n"/>
      <c r="AF80" s="413" t="n"/>
      <c r="AG80" s="413" t="n"/>
      <c r="AH80" s="413" t="n"/>
      <c r="AI80" s="413" t="n"/>
      <c r="AJ80" s="413" t="n"/>
      <c r="AK80" s="413" t="n"/>
      <c r="AL80" s="413" t="n"/>
      <c r="AM80" s="413" t="n"/>
      <c r="AN80" s="413" t="n"/>
    </row>
    <row r="81">
      <c r="A81" s="67" t="n"/>
      <c r="B81" s="67" t="n"/>
      <c r="C81" s="380" t="n"/>
      <c r="D81" s="67" t="n"/>
      <c r="E81" s="67" t="n"/>
      <c r="F81" s="471" t="n"/>
      <c r="G81" s="67" t="n"/>
      <c r="H81" s="67" t="n"/>
      <c r="I81" s="67" t="n"/>
      <c r="J81" s="419" t="n"/>
      <c r="K81" s="555" t="n"/>
      <c r="L81" s="358" t="n"/>
      <c r="M81" s="358" t="n"/>
      <c r="N81" s="527" t="n"/>
      <c r="O81" s="358" t="n"/>
      <c r="P81" s="358" t="n"/>
      <c r="Q81" s="364" t="n"/>
      <c r="R81" s="358" t="n"/>
      <c r="S81" s="358" t="n"/>
      <c r="T81" s="358" t="n"/>
      <c r="U81" s="375" t="n"/>
      <c r="V81" s="358" t="n"/>
      <c r="W81" s="413" t="n"/>
      <c r="X81" s="413" t="n"/>
      <c r="Y81" s="413" t="n"/>
      <c r="Z81" s="413" t="n"/>
      <c r="AA81" s="413" t="n"/>
      <c r="AB81" s="413" t="n"/>
      <c r="AC81" s="413" t="n"/>
      <c r="AD81" s="413" t="n"/>
      <c r="AE81" s="413" t="n"/>
      <c r="AF81" s="413" t="n"/>
      <c r="AG81" s="413" t="n"/>
      <c r="AH81" s="413" t="n"/>
      <c r="AI81" s="413" t="n"/>
      <c r="AJ81" s="413" t="n"/>
      <c r="AK81" s="413" t="n"/>
      <c r="AL81" s="413" t="n"/>
      <c r="AM81" s="413" t="n"/>
      <c r="AN81" s="413" t="n"/>
    </row>
    <row r="82">
      <c r="A82" s="67" t="n"/>
      <c r="B82" s="67" t="n"/>
      <c r="C82" s="380" t="n"/>
      <c r="D82" s="67" t="n"/>
      <c r="E82" s="67" t="n"/>
      <c r="F82" s="471" t="n"/>
      <c r="G82" s="67" t="n"/>
      <c r="H82" s="67" t="n"/>
      <c r="I82" s="67" t="n"/>
      <c r="J82" s="419" t="n"/>
      <c r="K82" s="555" t="n"/>
      <c r="L82" s="358" t="n"/>
      <c r="M82" s="358" t="n"/>
      <c r="N82" s="358" t="n"/>
      <c r="O82" s="358" t="n"/>
      <c r="P82" s="358" t="n"/>
      <c r="Q82" s="364" t="n"/>
      <c r="R82" s="358" t="n"/>
      <c r="S82" s="358" t="n"/>
      <c r="T82" s="358" t="n"/>
      <c r="U82" s="375" t="n"/>
      <c r="V82" s="358" t="n"/>
      <c r="W82" s="67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  <c r="AI82" s="67" t="n"/>
      <c r="AJ82" s="67" t="n"/>
      <c r="AK82" s="67" t="n"/>
      <c r="AL82" s="67" t="n"/>
      <c r="AM82" s="67" t="n"/>
      <c r="AN82" s="67" t="n"/>
    </row>
    <row r="83">
      <c r="A83" s="67" t="n"/>
      <c r="B83" s="67" t="n"/>
      <c r="C83" s="380" t="n"/>
      <c r="D83" s="67" t="n"/>
      <c r="E83" s="67" t="n"/>
      <c r="F83" s="471" t="n"/>
      <c r="G83" s="67" t="n"/>
      <c r="H83" s="67" t="n"/>
      <c r="I83" s="67" t="n"/>
      <c r="J83" s="419" t="n"/>
      <c r="K83" s="555" t="n"/>
      <c r="L83" s="358" t="n"/>
      <c r="M83" s="358" t="n"/>
      <c r="N83" s="358" t="n"/>
      <c r="O83" s="358" t="n"/>
      <c r="P83" s="358" t="n"/>
      <c r="Q83" s="364" t="n"/>
      <c r="R83" s="358" t="n"/>
      <c r="S83" s="358" t="n"/>
      <c r="T83" s="358" t="n"/>
      <c r="U83" s="375" t="n"/>
      <c r="V83" s="358" t="n"/>
      <c r="W83" s="67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  <c r="AI83" s="67" t="n"/>
      <c r="AJ83" s="67" t="n"/>
      <c r="AK83" s="67" t="n"/>
      <c r="AL83" s="67" t="n"/>
      <c r="AM83" s="67" t="n"/>
      <c r="AN83" s="67" t="n"/>
    </row>
    <row r="84">
      <c r="A84" s="67" t="n"/>
      <c r="B84" s="67" t="n"/>
      <c r="C84" s="380" t="n"/>
      <c r="D84" s="67" t="n"/>
      <c r="E84" s="67" t="n"/>
      <c r="F84" s="471" t="n"/>
      <c r="G84" s="67" t="n"/>
      <c r="H84" s="67" t="n"/>
      <c r="I84" s="67" t="n"/>
      <c r="J84" s="419" t="n"/>
      <c r="K84" s="555" t="n"/>
      <c r="L84" s="358" t="n"/>
      <c r="M84" s="358" t="n"/>
      <c r="N84" s="358" t="n"/>
      <c r="O84" s="358" t="n"/>
      <c r="P84" s="358" t="n"/>
      <c r="Q84" s="364" t="n"/>
      <c r="R84" s="358" t="n"/>
      <c r="S84" s="358" t="n"/>
      <c r="T84" s="358" t="n"/>
      <c r="U84" s="375" t="n"/>
      <c r="V84" s="358" t="n"/>
      <c r="W84" s="67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  <c r="AI84" s="67" t="n"/>
      <c r="AJ84" s="67" t="n"/>
      <c r="AK84" s="67" t="n"/>
      <c r="AL84" s="67" t="n"/>
      <c r="AM84" s="67" t="n"/>
      <c r="AN84" s="67" t="n"/>
    </row>
    <row r="85">
      <c r="A85" s="67" t="n"/>
      <c r="B85" s="67" t="n"/>
      <c r="C85" s="380" t="n"/>
      <c r="D85" s="67" t="n"/>
      <c r="E85" s="67" t="n"/>
      <c r="F85" s="67" t="n"/>
      <c r="G85" s="67" t="n"/>
      <c r="H85" s="67" t="n"/>
      <c r="I85" s="67" t="n"/>
      <c r="J85" s="419" t="n"/>
      <c r="K85" s="563" t="n"/>
      <c r="L85" s="67" t="n"/>
      <c r="M85" s="67" t="n"/>
      <c r="N85" s="67" t="n"/>
      <c r="O85" s="67" t="n"/>
      <c r="P85" s="67" t="n"/>
      <c r="Q85" s="413" t="n"/>
      <c r="R85" s="67" t="n"/>
      <c r="S85" s="67" t="n"/>
      <c r="T85" s="67" t="n"/>
      <c r="U85" s="471" t="n"/>
      <c r="V85" s="67" t="n"/>
      <c r="W85" s="413" t="n"/>
      <c r="X85" s="413" t="n"/>
      <c r="Y85" s="413" t="n"/>
      <c r="Z85" s="413" t="n"/>
      <c r="AA85" s="413" t="n"/>
      <c r="AB85" s="413" t="n"/>
      <c r="AC85" s="413" t="n"/>
      <c r="AD85" s="413" t="n"/>
      <c r="AE85" s="413" t="n"/>
      <c r="AF85" s="413" t="n"/>
      <c r="AG85" s="413" t="n"/>
      <c r="AH85" s="413" t="n"/>
      <c r="AI85" s="413" t="n"/>
      <c r="AJ85" s="413" t="n"/>
      <c r="AK85" s="413" t="n"/>
      <c r="AL85" s="413" t="n"/>
      <c r="AM85" s="413" t="n"/>
      <c r="AN85" s="413" t="n"/>
    </row>
    <row r="86">
      <c r="A86" s="67" t="n"/>
      <c r="B86" s="67" t="n"/>
      <c r="C86" s="380" t="n"/>
      <c r="D86" s="67" t="n"/>
      <c r="E86" s="67" t="n"/>
      <c r="F86" s="67" t="n"/>
      <c r="G86" s="67" t="n"/>
      <c r="H86" s="67" t="n"/>
      <c r="I86" s="67" t="n"/>
      <c r="J86" s="419" t="n"/>
      <c r="K86" s="563" t="n"/>
      <c r="L86" s="67" t="n"/>
      <c r="M86" s="67" t="n"/>
      <c r="N86" s="67" t="n"/>
      <c r="O86" s="67" t="n"/>
      <c r="P86" s="67" t="n"/>
      <c r="Q86" s="413" t="n"/>
      <c r="R86" s="67" t="n"/>
      <c r="S86" s="67" t="n"/>
      <c r="T86" s="67" t="n"/>
      <c r="U86" s="471" t="n"/>
      <c r="V86" s="67" t="n"/>
      <c r="W86" s="413" t="n"/>
      <c r="X86" s="413" t="n"/>
      <c r="Y86" s="413" t="n"/>
      <c r="Z86" s="413" t="n"/>
      <c r="AA86" s="413" t="n"/>
      <c r="AB86" s="413" t="n"/>
      <c r="AC86" s="413" t="n"/>
      <c r="AD86" s="413" t="n"/>
      <c r="AE86" s="413" t="n"/>
      <c r="AF86" s="413" t="n"/>
      <c r="AG86" s="413" t="n"/>
      <c r="AH86" s="413" t="n"/>
      <c r="AI86" s="413" t="n"/>
      <c r="AJ86" s="413" t="n"/>
      <c r="AK86" s="413" t="n"/>
      <c r="AL86" s="413" t="n"/>
      <c r="AM86" s="413" t="n"/>
      <c r="AN86" s="413" t="n"/>
    </row>
    <row r="87">
      <c r="A87" s="67" t="n"/>
      <c r="B87" s="67" t="n"/>
      <c r="C87" s="380" t="n"/>
      <c r="D87" s="67" t="n"/>
      <c r="E87" s="67" t="n"/>
      <c r="F87" s="67" t="n"/>
      <c r="G87" s="67" t="n"/>
      <c r="H87" s="67" t="n"/>
      <c r="I87" s="67" t="n"/>
      <c r="J87" s="419" t="n"/>
      <c r="K87" s="563" t="n"/>
      <c r="L87" s="67" t="n"/>
      <c r="M87" s="67" t="n"/>
      <c r="N87" s="67" t="n"/>
      <c r="O87" s="67" t="n"/>
      <c r="P87" s="67" t="n"/>
      <c r="Q87" s="413" t="n"/>
      <c r="R87" s="67" t="n"/>
      <c r="S87" s="67" t="n"/>
      <c r="T87" s="67" t="n"/>
      <c r="U87" s="471" t="n"/>
      <c r="V87" s="67" t="n"/>
      <c r="W87" s="413" t="n"/>
      <c r="X87" s="413" t="n"/>
      <c r="Y87" s="413" t="n"/>
      <c r="Z87" s="413" t="n"/>
      <c r="AA87" s="413" t="n"/>
      <c r="AB87" s="413" t="n"/>
      <c r="AC87" s="413" t="n"/>
      <c r="AD87" s="413" t="n"/>
      <c r="AE87" s="413" t="n"/>
      <c r="AF87" s="413" t="n"/>
      <c r="AG87" s="413" t="n"/>
      <c r="AH87" s="413" t="n"/>
      <c r="AI87" s="413" t="n"/>
      <c r="AJ87" s="413" t="n"/>
      <c r="AK87" s="413" t="n"/>
      <c r="AL87" s="413" t="n"/>
      <c r="AM87" s="413" t="n"/>
      <c r="AN87" s="413" t="n"/>
    </row>
    <row r="88">
      <c r="A88" s="67" t="n"/>
      <c r="B88" s="67" t="n"/>
      <c r="C88" s="380" t="n"/>
      <c r="D88" s="67" t="n"/>
      <c r="E88" s="67" t="n"/>
      <c r="F88" s="67" t="n"/>
      <c r="G88" s="67" t="n"/>
      <c r="H88" s="67" t="n"/>
      <c r="I88" s="67" t="n"/>
      <c r="J88" s="419" t="n"/>
      <c r="K88" s="563" t="n"/>
      <c r="L88" s="67" t="n"/>
      <c r="M88" s="67" t="n"/>
      <c r="N88" s="67" t="n"/>
      <c r="O88" s="67" t="n"/>
      <c r="P88" s="67" t="n"/>
      <c r="Q88" s="413" t="n"/>
      <c r="R88" s="67" t="n"/>
      <c r="S88" s="67" t="n"/>
      <c r="T88" s="67" t="n"/>
      <c r="U88" s="471" t="n"/>
      <c r="V88" s="67" t="n"/>
      <c r="W88" s="413" t="n"/>
      <c r="X88" s="413" t="n"/>
      <c r="Y88" s="413" t="n"/>
      <c r="Z88" s="413" t="n"/>
      <c r="AA88" s="413" t="n"/>
      <c r="AB88" s="413" t="n"/>
      <c r="AC88" s="413" t="n"/>
      <c r="AD88" s="413" t="n"/>
      <c r="AE88" s="413" t="n"/>
      <c r="AF88" s="413" t="n"/>
      <c r="AG88" s="413" t="n"/>
      <c r="AH88" s="413" t="n"/>
      <c r="AI88" s="413" t="n"/>
      <c r="AJ88" s="413" t="n"/>
      <c r="AK88" s="413" t="n"/>
      <c r="AL88" s="413" t="n"/>
      <c r="AM88" s="413" t="n"/>
      <c r="AN88" s="413" t="n"/>
    </row>
    <row r="89">
      <c r="A89" s="67" t="n"/>
      <c r="B89" s="67" t="n"/>
      <c r="C89" s="380" t="n"/>
      <c r="D89" s="67" t="n"/>
      <c r="E89" s="67" t="n"/>
      <c r="F89" s="67" t="n"/>
      <c r="G89" s="67" t="n"/>
      <c r="H89" s="67" t="n"/>
      <c r="I89" s="67" t="n"/>
      <c r="J89" s="419" t="n"/>
      <c r="K89" s="563" t="n"/>
      <c r="L89" s="67" t="n"/>
      <c r="M89" s="67" t="n"/>
      <c r="N89" s="67" t="n"/>
      <c r="O89" s="67" t="n"/>
      <c r="P89" s="67" t="n"/>
      <c r="Q89" s="413" t="n"/>
      <c r="R89" s="67" t="n"/>
      <c r="S89" s="67" t="n"/>
      <c r="T89" s="67" t="n"/>
      <c r="U89" s="471" t="n"/>
      <c r="V89" s="67" t="n"/>
      <c r="W89" s="413" t="n"/>
      <c r="X89" s="413" t="n"/>
      <c r="Y89" s="413" t="n"/>
      <c r="Z89" s="413" t="n"/>
      <c r="AA89" s="413" t="n"/>
      <c r="AB89" s="413" t="n"/>
      <c r="AC89" s="413" t="n"/>
      <c r="AD89" s="413" t="n"/>
      <c r="AE89" s="413" t="n"/>
      <c r="AF89" s="413" t="n"/>
      <c r="AG89" s="413" t="n"/>
      <c r="AH89" s="413" t="n"/>
      <c r="AI89" s="413" t="n"/>
      <c r="AJ89" s="413" t="n"/>
      <c r="AK89" s="413" t="n"/>
      <c r="AL89" s="413" t="n"/>
      <c r="AM89" s="413" t="n"/>
      <c r="AN89" s="413" t="n"/>
    </row>
    <row r="90">
      <c r="A90" s="67" t="n"/>
      <c r="B90" s="67" t="n"/>
      <c r="C90" s="380" t="n"/>
      <c r="D90" s="67" t="n"/>
      <c r="E90" s="67" t="n"/>
      <c r="F90" s="67" t="n"/>
      <c r="G90" s="67" t="n"/>
      <c r="H90" s="67" t="n"/>
      <c r="I90" s="67" t="n"/>
      <c r="J90" s="419" t="n"/>
      <c r="K90" s="563" t="n"/>
      <c r="L90" s="67" t="n"/>
      <c r="M90" s="67" t="n"/>
      <c r="N90" s="67" t="n"/>
      <c r="O90" s="67" t="n"/>
      <c r="P90" s="67" t="n"/>
      <c r="Q90" s="413" t="n"/>
      <c r="R90" s="67" t="n"/>
      <c r="S90" s="67" t="n"/>
      <c r="T90" s="67" t="n"/>
      <c r="U90" s="471" t="n"/>
      <c r="V90" s="67" t="n"/>
      <c r="W90" s="413" t="n"/>
      <c r="X90" s="413" t="n"/>
      <c r="Y90" s="413" t="n"/>
      <c r="Z90" s="413" t="n"/>
      <c r="AA90" s="413" t="n"/>
      <c r="AB90" s="413" t="n"/>
      <c r="AC90" s="413" t="n"/>
      <c r="AD90" s="413" t="n"/>
      <c r="AE90" s="413" t="n"/>
      <c r="AF90" s="413" t="n"/>
      <c r="AG90" s="413" t="n"/>
      <c r="AH90" s="413" t="n"/>
      <c r="AI90" s="413" t="n"/>
      <c r="AJ90" s="413" t="n"/>
      <c r="AK90" s="413" t="n"/>
      <c r="AL90" s="413" t="n"/>
      <c r="AM90" s="413" t="n"/>
      <c r="AN90" s="413" t="n"/>
    </row>
    <row r="91">
      <c r="A91" s="67" t="n"/>
      <c r="B91" s="67" t="n"/>
      <c r="C91" s="380" t="n"/>
      <c r="D91" s="67" t="n"/>
      <c r="E91" s="67" t="n"/>
      <c r="F91" s="67" t="n"/>
      <c r="G91" s="67" t="n"/>
      <c r="H91" s="67" t="n"/>
      <c r="I91" s="67" t="n"/>
      <c r="J91" s="419" t="n"/>
      <c r="K91" s="563" t="n"/>
      <c r="L91" s="67" t="n"/>
      <c r="M91" s="67" t="n"/>
      <c r="N91" s="67" t="n"/>
      <c r="O91" s="67" t="n"/>
      <c r="P91" s="67" t="n"/>
      <c r="Q91" s="413" t="n"/>
      <c r="R91" s="67" t="n"/>
      <c r="S91" s="67" t="n"/>
      <c r="T91" s="67" t="n"/>
      <c r="U91" s="471" t="n"/>
      <c r="V91" s="67" t="n"/>
      <c r="W91" s="413" t="n"/>
      <c r="X91" s="413" t="n"/>
      <c r="Y91" s="413" t="n"/>
      <c r="Z91" s="413" t="n"/>
      <c r="AA91" s="413" t="n"/>
      <c r="AB91" s="413" t="n"/>
      <c r="AC91" s="413" t="n"/>
      <c r="AD91" s="413" t="n"/>
      <c r="AE91" s="413" t="n"/>
      <c r="AF91" s="413" t="n"/>
      <c r="AG91" s="413" t="n"/>
      <c r="AH91" s="413" t="n"/>
      <c r="AI91" s="413" t="n"/>
      <c r="AJ91" s="413" t="n"/>
      <c r="AK91" s="413" t="n"/>
      <c r="AL91" s="413" t="n"/>
      <c r="AM91" s="413" t="n"/>
      <c r="AN91" s="413" t="n"/>
    </row>
    <row r="92">
      <c r="A92" s="67" t="n"/>
      <c r="B92" s="67" t="n"/>
      <c r="C92" s="380" t="n"/>
      <c r="D92" s="67" t="n"/>
      <c r="E92" s="67" t="n"/>
      <c r="F92" s="67" t="n"/>
      <c r="G92" s="67" t="n"/>
      <c r="H92" s="67" t="n"/>
      <c r="I92" s="67" t="n"/>
      <c r="J92" s="419" t="n"/>
      <c r="K92" s="563" t="n"/>
      <c r="L92" s="67" t="n"/>
      <c r="M92" s="67" t="n"/>
      <c r="N92" s="67" t="n"/>
      <c r="O92" s="67" t="n"/>
      <c r="P92" s="67" t="n"/>
      <c r="Q92" s="413" t="n"/>
      <c r="R92" s="67" t="n"/>
      <c r="S92" s="67" t="n"/>
      <c r="T92" s="67" t="n"/>
      <c r="U92" s="471" t="n"/>
      <c r="V92" s="67" t="n"/>
      <c r="W92" s="413" t="n"/>
      <c r="X92" s="413" t="n"/>
      <c r="Y92" s="413" t="n"/>
      <c r="Z92" s="413" t="n"/>
      <c r="AA92" s="413" t="n"/>
      <c r="AB92" s="413" t="n"/>
      <c r="AC92" s="413" t="n"/>
      <c r="AD92" s="413" t="n"/>
      <c r="AE92" s="413" t="n"/>
      <c r="AF92" s="413" t="n"/>
      <c r="AG92" s="413" t="n"/>
      <c r="AH92" s="413" t="n"/>
      <c r="AI92" s="413" t="n"/>
      <c r="AJ92" s="413" t="n"/>
      <c r="AK92" s="413" t="n"/>
      <c r="AL92" s="413" t="n"/>
      <c r="AM92" s="413" t="n"/>
      <c r="AN92" s="413" t="n"/>
    </row>
    <row r="93">
      <c r="A93" s="67" t="n"/>
      <c r="B93" s="67" t="n"/>
      <c r="C93" s="380" t="n"/>
      <c r="D93" s="67" t="n"/>
      <c r="E93" s="67" t="n"/>
      <c r="F93" s="67" t="n"/>
      <c r="G93" s="67" t="n"/>
      <c r="H93" s="67" t="n"/>
      <c r="I93" s="67" t="n"/>
      <c r="J93" s="419" t="n"/>
      <c r="K93" s="563" t="n"/>
      <c r="L93" s="67" t="n"/>
      <c r="M93" s="67" t="n"/>
      <c r="N93" s="67" t="n"/>
      <c r="O93" s="67" t="n"/>
      <c r="P93" s="67" t="n"/>
      <c r="Q93" s="413" t="n"/>
      <c r="R93" s="67" t="n"/>
      <c r="S93" s="67" t="n"/>
      <c r="T93" s="67" t="n"/>
      <c r="U93" s="471" t="n"/>
      <c r="V93" s="67" t="n"/>
      <c r="W93" s="413" t="n"/>
      <c r="X93" s="413" t="n"/>
      <c r="Y93" s="413" t="n"/>
      <c r="Z93" s="413" t="n"/>
      <c r="AA93" s="413" t="n"/>
      <c r="AB93" s="413" t="n"/>
      <c r="AC93" s="413" t="n"/>
      <c r="AD93" s="413" t="n"/>
      <c r="AE93" s="413" t="n"/>
      <c r="AF93" s="413" t="n"/>
      <c r="AG93" s="413" t="n"/>
      <c r="AH93" s="413" t="n"/>
      <c r="AI93" s="413" t="n"/>
      <c r="AJ93" s="413" t="n"/>
      <c r="AK93" s="413" t="n"/>
      <c r="AL93" s="413" t="n"/>
      <c r="AM93" s="413" t="n"/>
      <c r="AN93" s="413" t="n"/>
    </row>
    <row r="94">
      <c r="A94" s="67" t="n"/>
      <c r="B94" s="67" t="n"/>
      <c r="C94" s="380" t="n"/>
      <c r="D94" s="67" t="n"/>
      <c r="E94" s="67" t="n"/>
      <c r="F94" s="67" t="n"/>
      <c r="G94" s="67" t="n"/>
      <c r="H94" s="67" t="n"/>
      <c r="I94" s="67" t="n"/>
      <c r="J94" s="419" t="n"/>
      <c r="K94" s="563" t="n"/>
      <c r="L94" s="67" t="n"/>
      <c r="M94" s="67" t="n"/>
      <c r="N94" s="67" t="n"/>
      <c r="O94" s="67" t="n"/>
      <c r="P94" s="67" t="n"/>
      <c r="Q94" s="413" t="n"/>
      <c r="R94" s="67" t="n"/>
      <c r="S94" s="67" t="n"/>
      <c r="T94" s="67" t="n"/>
      <c r="U94" s="471" t="n"/>
      <c r="V94" s="67" t="n"/>
      <c r="W94" s="67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  <c r="AI94" s="67" t="n"/>
      <c r="AJ94" s="67" t="n"/>
      <c r="AK94" s="67" t="n"/>
      <c r="AL94" s="67" t="n"/>
      <c r="AM94" s="67" t="n"/>
      <c r="AN94" s="67" t="n"/>
    </row>
    <row r="95">
      <c r="A95" s="67" t="n"/>
      <c r="B95" s="67" t="n"/>
      <c r="C95" s="380" t="n"/>
      <c r="D95" s="67" t="n"/>
      <c r="E95" s="67" t="n"/>
      <c r="F95" s="67" t="n"/>
      <c r="G95" s="67" t="n"/>
      <c r="H95" s="67" t="n"/>
      <c r="I95" s="67" t="n"/>
      <c r="J95" s="67" t="n"/>
      <c r="K95" s="563" t="n"/>
      <c r="L95" s="67" t="n"/>
      <c r="M95" s="67" t="n"/>
      <c r="N95" s="67" t="n"/>
      <c r="O95" s="67" t="n"/>
      <c r="P95" s="67" t="n"/>
      <c r="Q95" s="413" t="n"/>
      <c r="R95" s="67" t="n"/>
      <c r="S95" s="67" t="n"/>
      <c r="T95" s="67" t="n"/>
      <c r="U95" s="471" t="n"/>
      <c r="V95" s="67" t="n"/>
      <c r="W95" s="557" t="n"/>
      <c r="X95" s="557" t="n"/>
      <c r="Y95" s="557" t="n"/>
      <c r="Z95" s="557" t="n"/>
      <c r="AA95" s="557" t="n"/>
      <c r="AB95" s="557" t="n"/>
      <c r="AC95" s="557" t="n"/>
      <c r="AD95" s="557" t="n"/>
      <c r="AE95" s="557" t="n"/>
      <c r="AF95" s="557" t="n"/>
      <c r="AG95" s="557" t="n"/>
      <c r="AH95" s="557" t="n"/>
      <c r="AI95" s="557" t="n"/>
      <c r="AJ95" s="557" t="n"/>
      <c r="AK95" s="557" t="n"/>
      <c r="AL95" s="557" t="n"/>
      <c r="AM95" s="557" t="n"/>
      <c r="AN95" s="557" t="n"/>
    </row>
    <row r="96">
      <c r="A96" s="67" t="n"/>
      <c r="B96" s="67" t="n"/>
      <c r="C96" s="380" t="n"/>
      <c r="D96" s="67" t="n"/>
      <c r="E96" s="67" t="n"/>
      <c r="F96" s="67" t="n"/>
      <c r="G96" s="67" t="n"/>
      <c r="H96" s="67" t="n"/>
      <c r="I96" s="67" t="n"/>
      <c r="J96" s="67" t="n"/>
      <c r="K96" s="563" t="n"/>
      <c r="L96" s="67" t="n"/>
      <c r="M96" s="67" t="n"/>
      <c r="N96" s="67" t="n"/>
      <c r="O96" s="67" t="n"/>
      <c r="P96" s="67" t="n"/>
      <c r="Q96" s="413" t="n"/>
      <c r="R96" s="67" t="n"/>
      <c r="S96" s="67" t="n"/>
      <c r="T96" s="67" t="n"/>
      <c r="U96" s="471" t="n"/>
      <c r="V96" s="67" t="n"/>
      <c r="W96" s="67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  <c r="AI96" s="67" t="n"/>
      <c r="AJ96" s="67" t="n"/>
      <c r="AK96" s="67" t="n"/>
      <c r="AL96" s="67" t="n"/>
      <c r="AM96" s="67" t="n"/>
      <c r="AN96" s="67" t="n"/>
    </row>
    <row r="97">
      <c r="A97" s="67" t="n"/>
      <c r="B97" s="67" t="n"/>
      <c r="C97" s="380" t="n"/>
      <c r="D97" s="67" t="n"/>
      <c r="E97" s="67" t="n"/>
      <c r="F97" s="67" t="n"/>
      <c r="G97" s="67" t="n"/>
      <c r="H97" s="67" t="n"/>
      <c r="I97" s="67" t="n"/>
      <c r="J97" s="67" t="n"/>
      <c r="K97" s="558" t="n"/>
      <c r="L97" s="67" t="n"/>
      <c r="M97" s="67" t="n"/>
      <c r="N97" s="67" t="n"/>
      <c r="O97" s="67" t="n"/>
      <c r="P97" s="67" t="n"/>
      <c r="Q97" s="413" t="n"/>
      <c r="R97" s="67" t="n"/>
      <c r="S97" s="67" t="n"/>
      <c r="T97" s="67" t="n"/>
      <c r="U97" s="471" t="n"/>
      <c r="V97" s="67" t="n"/>
      <c r="W97" s="67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  <c r="AI97" s="67" t="n"/>
      <c r="AJ97" s="67" t="n"/>
      <c r="AK97" s="67" t="n"/>
      <c r="AL97" s="67" t="n"/>
      <c r="AM97" s="67" t="n"/>
      <c r="AN97" s="67" t="n"/>
    </row>
    <row r="98">
      <c r="A98" s="67" t="n"/>
      <c r="B98" s="67" t="n"/>
      <c r="C98" s="380" t="n"/>
      <c r="D98" s="67" t="n"/>
      <c r="E98" s="67" t="n"/>
      <c r="F98" s="67" t="n"/>
      <c r="G98" s="67" t="n"/>
      <c r="H98" s="67" t="n"/>
      <c r="I98" s="67" t="n"/>
      <c r="J98" s="67" t="n"/>
      <c r="K98" s="563" t="n"/>
      <c r="L98" s="67" t="n"/>
      <c r="M98" s="67" t="n"/>
      <c r="N98" s="67" t="n"/>
      <c r="O98" s="67" t="n"/>
      <c r="P98" s="67" t="n"/>
      <c r="Q98" s="413" t="n"/>
      <c r="R98" s="67" t="n"/>
      <c r="S98" s="67" t="n"/>
      <c r="T98" s="67" t="n"/>
      <c r="U98" s="471" t="n"/>
      <c r="V98" s="67" t="n"/>
      <c r="W98" s="67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  <c r="AI98" s="67" t="n"/>
      <c r="AJ98" s="67" t="n"/>
      <c r="AK98" s="67" t="n"/>
      <c r="AL98" s="67" t="n"/>
      <c r="AM98" s="67" t="n"/>
      <c r="AN98" s="67" t="n"/>
    </row>
    <row r="99">
      <c r="A99" s="67" t="n"/>
      <c r="B99" s="67" t="n"/>
      <c r="C99" s="380" t="n"/>
      <c r="D99" s="67" t="n"/>
      <c r="E99" s="67" t="n"/>
      <c r="F99" s="67" t="n"/>
      <c r="G99" s="67" t="n"/>
      <c r="H99" s="67" t="n"/>
      <c r="I99" s="67" t="n"/>
      <c r="J99" s="67" t="n"/>
      <c r="K99" s="563" t="n"/>
      <c r="L99" s="67" t="n"/>
      <c r="M99" s="67" t="n"/>
      <c r="N99" s="67" t="n"/>
      <c r="O99" s="67" t="n"/>
      <c r="P99" s="67" t="n"/>
      <c r="Q99" s="413" t="n"/>
      <c r="R99" s="67" t="n"/>
      <c r="S99" s="67" t="n"/>
      <c r="T99" s="67" t="n"/>
      <c r="U99" s="471" t="n"/>
      <c r="V99" s="67" t="n"/>
      <c r="W99" s="67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  <c r="AI99" s="67" t="n"/>
      <c r="AJ99" s="67" t="n"/>
      <c r="AK99" s="67" t="n"/>
      <c r="AL99" s="67" t="n"/>
      <c r="AM99" s="67" t="n"/>
      <c r="AN99" s="67" t="n"/>
    </row>
    <row r="100">
      <c r="A100" s="67" t="n"/>
      <c r="B100" s="67" t="n"/>
      <c r="C100" s="380" t="n"/>
      <c r="D100" s="67" t="n"/>
      <c r="E100" s="67" t="n"/>
      <c r="F100" s="67" t="n"/>
      <c r="G100" s="67" t="n"/>
      <c r="H100" s="67" t="n"/>
      <c r="I100" s="67" t="n"/>
      <c r="J100" s="419" t="n"/>
      <c r="K100" s="563" t="n"/>
      <c r="L100" s="67" t="n"/>
      <c r="M100" s="67" t="n"/>
      <c r="N100" s="67" t="n"/>
      <c r="O100" s="67" t="n"/>
      <c r="P100" s="67" t="n"/>
      <c r="Q100" s="413" t="n"/>
      <c r="R100" s="67" t="n"/>
      <c r="S100" s="67" t="n"/>
      <c r="T100" s="67" t="n"/>
      <c r="U100" s="471" t="n"/>
      <c r="V100" s="67" t="n"/>
      <c r="W100" s="67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  <c r="AI100" s="67" t="n"/>
      <c r="AJ100" s="67" t="n"/>
      <c r="AK100" s="67" t="n"/>
      <c r="AL100" s="67" t="n"/>
      <c r="AM100" s="67" t="n"/>
      <c r="AN100" s="67" t="n"/>
    </row>
    <row r="101">
      <c r="A101" s="67" t="n"/>
      <c r="B101" s="67" t="n"/>
      <c r="C101" s="380" t="n"/>
      <c r="D101" s="67" t="n"/>
      <c r="E101" s="67" t="n"/>
      <c r="F101" s="67" t="n"/>
      <c r="G101" s="67" t="n"/>
      <c r="H101" s="67" t="n"/>
      <c r="I101" s="67" t="n"/>
      <c r="J101" s="419" t="n"/>
      <c r="K101" s="563" t="n"/>
      <c r="L101" s="67" t="n"/>
      <c r="M101" s="67" t="n"/>
      <c r="N101" s="413" t="n"/>
      <c r="O101" s="67" t="n"/>
      <c r="P101" s="67" t="n"/>
      <c r="Q101" s="413" t="n"/>
      <c r="R101" s="67" t="n"/>
      <c r="S101" s="67" t="n"/>
      <c r="T101" s="67" t="n"/>
      <c r="U101" s="471" t="n"/>
      <c r="V101" s="67" t="n"/>
      <c r="W101" s="67" t="n"/>
      <c r="X101" s="557" t="n"/>
      <c r="Y101" s="557" t="n"/>
      <c r="Z101" s="557" t="n"/>
      <c r="AA101" s="557" t="n"/>
      <c r="AB101" s="557" t="n"/>
      <c r="AC101" s="557" t="n"/>
      <c r="AD101" s="557" t="n"/>
      <c r="AE101" s="557" t="n"/>
      <c r="AF101" s="557" t="n"/>
      <c r="AG101" s="557" t="n"/>
      <c r="AH101" s="557" t="n"/>
      <c r="AI101" s="557" t="n"/>
      <c r="AJ101" s="557" t="n"/>
      <c r="AK101" s="557" t="n"/>
      <c r="AL101" s="557" t="n"/>
      <c r="AM101" s="557" t="n"/>
      <c r="AN101" s="557" t="n"/>
    </row>
    <row r="102">
      <c r="A102" s="67" t="n"/>
      <c r="B102" s="67" t="n"/>
      <c r="C102" s="380" t="n"/>
      <c r="D102" s="67" t="n"/>
      <c r="E102" s="67" t="n"/>
      <c r="F102" s="67" t="n"/>
      <c r="G102" s="67" t="n"/>
      <c r="H102" s="67" t="n"/>
      <c r="I102" s="67" t="n"/>
      <c r="J102" s="419" t="n"/>
      <c r="K102" s="563" t="n"/>
      <c r="L102" s="67" t="n"/>
      <c r="M102" s="67" t="n"/>
      <c r="N102" s="67" t="n"/>
      <c r="O102" s="67" t="n"/>
      <c r="P102" s="67" t="n"/>
      <c r="Q102" s="413" t="n"/>
      <c r="R102" s="67" t="n"/>
      <c r="S102" s="67" t="n"/>
      <c r="T102" s="67" t="n"/>
      <c r="U102" s="471" t="n"/>
      <c r="V102" s="67" t="n"/>
      <c r="W102" s="557" t="n"/>
      <c r="X102" s="557" t="n"/>
      <c r="Y102" s="557" t="n"/>
      <c r="Z102" s="557" t="n"/>
      <c r="AA102" s="557" t="n"/>
      <c r="AB102" s="557" t="n"/>
      <c r="AC102" s="557" t="n"/>
      <c r="AD102" s="557" t="n"/>
      <c r="AE102" s="557" t="n"/>
      <c r="AF102" s="557" t="n"/>
      <c r="AG102" s="557" t="n"/>
      <c r="AH102" s="557" t="n"/>
      <c r="AI102" s="557" t="n"/>
      <c r="AJ102" s="557" t="n"/>
      <c r="AK102" s="557" t="n"/>
      <c r="AL102" s="557" t="n"/>
      <c r="AM102" s="557" t="n"/>
      <c r="AN102" s="557" t="n"/>
    </row>
    <row r="103">
      <c r="A103" s="67" t="n"/>
      <c r="B103" s="67" t="n"/>
      <c r="C103" s="380" t="n"/>
      <c r="D103" s="67" t="n"/>
      <c r="E103" s="67" t="n"/>
      <c r="F103" s="67" t="n"/>
      <c r="G103" s="67" t="n"/>
      <c r="H103" s="67" t="n"/>
      <c r="I103" s="67" t="n"/>
      <c r="J103" s="419" t="n"/>
      <c r="K103" s="563" t="n"/>
      <c r="L103" s="67" t="n"/>
      <c r="M103" s="67" t="n"/>
      <c r="N103" s="67" t="n"/>
      <c r="O103" s="67" t="n"/>
      <c r="P103" s="67" t="n"/>
      <c r="Q103" s="413" t="n"/>
      <c r="R103" s="67" t="n"/>
      <c r="S103" s="67" t="n"/>
      <c r="T103" s="67" t="n"/>
      <c r="U103" s="471" t="n"/>
      <c r="V103" s="67" t="n"/>
      <c r="W103" s="557" t="n"/>
      <c r="X103" s="413" t="n"/>
      <c r="Y103" s="413" t="n"/>
      <c r="Z103" s="413" t="n"/>
      <c r="AA103" s="413" t="n"/>
      <c r="AB103" s="413" t="n"/>
      <c r="AC103" s="413" t="n"/>
      <c r="AD103" s="413" t="n"/>
      <c r="AE103" s="413" t="n"/>
      <c r="AF103" s="413" t="n"/>
      <c r="AG103" s="413" t="n"/>
      <c r="AH103" s="413" t="n"/>
      <c r="AI103" s="413" t="n"/>
      <c r="AJ103" s="413" t="n"/>
      <c r="AK103" s="413" t="n"/>
      <c r="AL103" s="413" t="n"/>
      <c r="AM103" s="413" t="n"/>
      <c r="AN103" s="413" t="n"/>
    </row>
    <row r="104">
      <c r="A104" s="67" t="n"/>
      <c r="B104" s="67" t="n"/>
      <c r="C104" s="380" t="n"/>
      <c r="D104" s="67" t="n"/>
      <c r="E104" s="67" t="n"/>
      <c r="F104" s="67" t="n"/>
      <c r="G104" s="67" t="n"/>
      <c r="H104" s="67" t="n"/>
      <c r="I104" s="67" t="n"/>
      <c r="J104" s="419" t="n"/>
      <c r="K104" s="563" t="n"/>
      <c r="L104" s="67" t="n"/>
      <c r="M104" s="67" t="n"/>
      <c r="N104" s="67" t="n"/>
      <c r="O104" s="67" t="n"/>
      <c r="P104" s="67" t="n"/>
      <c r="Q104" s="413" t="n"/>
      <c r="R104" s="67" t="n"/>
      <c r="S104" s="67" t="n"/>
      <c r="T104" s="67" t="n"/>
      <c r="U104" s="471" t="n"/>
      <c r="V104" s="67" t="n"/>
      <c r="W104" s="557" t="n"/>
      <c r="X104" s="557" t="n"/>
      <c r="Y104" s="557" t="n"/>
      <c r="Z104" s="557" t="n"/>
      <c r="AA104" s="557" t="n"/>
      <c r="AB104" s="557" t="n"/>
      <c r="AC104" s="557" t="n"/>
      <c r="AD104" s="557" t="n"/>
      <c r="AE104" s="557" t="n"/>
      <c r="AF104" s="557" t="n"/>
      <c r="AG104" s="557" t="n"/>
      <c r="AH104" s="557" t="n"/>
      <c r="AI104" s="557" t="n"/>
      <c r="AJ104" s="557" t="n"/>
      <c r="AK104" s="557" t="n"/>
      <c r="AL104" s="557" t="n"/>
      <c r="AM104" s="557" t="n"/>
      <c r="AN104" s="557" t="n"/>
    </row>
    <row r="105">
      <c r="A105" s="67" t="n"/>
      <c r="B105" s="67" t="n"/>
      <c r="C105" s="380" t="n"/>
      <c r="D105" s="67" t="n"/>
      <c r="E105" s="67" t="n"/>
      <c r="F105" s="67" t="n"/>
      <c r="G105" s="67" t="n"/>
      <c r="H105" s="67" t="n"/>
      <c r="I105" s="67" t="n"/>
      <c r="J105" s="67" t="n"/>
      <c r="K105" s="563" t="n"/>
      <c r="L105" s="67" t="n"/>
      <c r="M105" s="67" t="n"/>
      <c r="N105" s="67" t="n"/>
      <c r="O105" s="67" t="n"/>
      <c r="P105" s="67" t="n"/>
      <c r="Q105" s="413" t="n"/>
      <c r="R105" s="67" t="n"/>
      <c r="S105" s="67" t="n"/>
      <c r="T105" s="67" t="n"/>
      <c r="U105" s="471" t="n"/>
      <c r="V105" s="67" t="n"/>
      <c r="W105" s="67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  <c r="AI105" s="67" t="n"/>
      <c r="AJ105" s="67" t="n"/>
      <c r="AK105" s="67" t="n"/>
      <c r="AL105" s="67" t="n"/>
      <c r="AM105" s="67" t="n"/>
      <c r="AN105" s="67" t="n"/>
    </row>
    <row r="106">
      <c r="A106" s="67" t="n"/>
      <c r="B106" s="67" t="n"/>
      <c r="C106" s="380" t="n"/>
      <c r="D106" s="67" t="n"/>
      <c r="E106" s="67" t="n"/>
      <c r="F106" s="67" t="n"/>
      <c r="G106" s="67" t="n"/>
      <c r="H106" s="67" t="n"/>
      <c r="I106" s="67" t="n"/>
      <c r="J106" s="67" t="n"/>
      <c r="K106" s="563" t="n"/>
      <c r="L106" s="67" t="n"/>
      <c r="M106" s="67" t="n"/>
      <c r="N106" s="67" t="n"/>
      <c r="O106" s="67" t="n"/>
      <c r="P106" s="67" t="n"/>
      <c r="Q106" s="413" t="n"/>
      <c r="R106" s="67" t="n"/>
      <c r="S106" s="67" t="n"/>
      <c r="T106" s="67" t="n"/>
      <c r="U106" s="471" t="n"/>
      <c r="V106" s="67" t="n"/>
      <c r="W106" s="67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  <c r="AI106" s="67" t="n"/>
      <c r="AJ106" s="67" t="n"/>
      <c r="AK106" s="67" t="n"/>
      <c r="AL106" s="67" t="n"/>
      <c r="AM106" s="67" t="n"/>
      <c r="AN106" s="67" t="n"/>
    </row>
    <row r="107">
      <c r="A107" s="67" t="n"/>
      <c r="B107" s="67" t="n"/>
      <c r="C107" s="380" t="n"/>
      <c r="D107" s="67" t="n"/>
      <c r="E107" s="67" t="n"/>
      <c r="F107" s="67" t="n"/>
      <c r="G107" s="67" t="n"/>
      <c r="H107" s="67" t="n"/>
      <c r="I107" s="67" t="n"/>
      <c r="J107" s="419" t="n"/>
      <c r="K107" s="563" t="n"/>
      <c r="L107" s="67" t="n"/>
      <c r="M107" s="67" t="n"/>
      <c r="N107" s="67" t="n"/>
      <c r="O107" s="67" t="n"/>
      <c r="P107" s="67" t="n"/>
      <c r="Q107" s="413" t="n"/>
      <c r="R107" s="67" t="n"/>
      <c r="S107" s="67" t="n"/>
      <c r="T107" s="67" t="n"/>
      <c r="U107" s="471" t="n"/>
      <c r="V107" s="67" t="n"/>
      <c r="W107" s="67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  <c r="AI107" s="67" t="n"/>
      <c r="AJ107" s="67" t="n"/>
      <c r="AK107" s="67" t="n"/>
      <c r="AL107" s="67" t="n"/>
      <c r="AM107" s="67" t="n"/>
      <c r="AN107" s="67" t="n"/>
    </row>
    <row r="108">
      <c r="A108" s="67" t="n"/>
      <c r="B108" s="67" t="n"/>
      <c r="C108" s="380" t="n"/>
      <c r="D108" s="67" t="n"/>
      <c r="E108" s="67" t="n"/>
      <c r="F108" s="67" t="n"/>
      <c r="G108" s="67" t="n"/>
      <c r="H108" s="67" t="n"/>
      <c r="I108" s="67" t="n"/>
      <c r="J108" s="419" t="n"/>
      <c r="K108" s="563" t="n"/>
      <c r="L108" s="67" t="n"/>
      <c r="M108" s="67" t="n"/>
      <c r="N108" s="413" t="n"/>
      <c r="O108" s="67" t="n"/>
      <c r="P108" s="67" t="n"/>
      <c r="Q108" s="413" t="n"/>
      <c r="R108" s="67" t="n"/>
      <c r="S108" s="67" t="n"/>
      <c r="T108" s="67" t="n"/>
      <c r="U108" s="471" t="n"/>
      <c r="V108" s="67" t="n"/>
      <c r="W108" s="559" t="n"/>
      <c r="X108" s="413" t="n"/>
      <c r="Y108" s="413" t="n"/>
      <c r="Z108" s="413" t="n"/>
      <c r="AA108" s="413" t="n"/>
      <c r="AB108" s="413" t="n"/>
      <c r="AC108" s="413" t="n"/>
      <c r="AD108" s="413" t="n"/>
      <c r="AE108" s="413" t="n"/>
      <c r="AF108" s="413" t="n"/>
      <c r="AG108" s="413" t="n"/>
      <c r="AH108" s="413" t="n"/>
      <c r="AI108" s="413" t="n"/>
      <c r="AJ108" s="413" t="n"/>
      <c r="AK108" s="413" t="n"/>
      <c r="AL108" s="413" t="n"/>
      <c r="AM108" s="413" t="n"/>
      <c r="AN108" s="413" t="n"/>
    </row>
    <row r="109">
      <c r="A109" s="67" t="n"/>
      <c r="B109" s="67" t="n"/>
      <c r="C109" s="380" t="n"/>
      <c r="D109" s="67" t="n"/>
      <c r="E109" s="67" t="n"/>
      <c r="F109" s="67" t="n"/>
      <c r="G109" s="67" t="n"/>
      <c r="H109" s="67" t="n"/>
      <c r="I109" s="67" t="n"/>
      <c r="J109" s="419" t="n"/>
      <c r="K109" s="563" t="n"/>
      <c r="L109" s="67" t="n"/>
      <c r="M109" s="67" t="n"/>
      <c r="N109" s="67" t="n"/>
      <c r="O109" s="67" t="n"/>
      <c r="P109" s="67" t="n"/>
      <c r="Q109" s="413" t="n"/>
      <c r="R109" s="67" t="n"/>
      <c r="S109" s="67" t="n"/>
      <c r="T109" s="67" t="n"/>
      <c r="U109" s="471" t="n"/>
      <c r="V109" s="67" t="n"/>
      <c r="W109" s="556" t="n"/>
      <c r="X109" s="413" t="n"/>
      <c r="Y109" s="413" t="n"/>
      <c r="Z109" s="413" t="n"/>
      <c r="AA109" s="413" t="n"/>
      <c r="AB109" s="413" t="n"/>
      <c r="AC109" s="413" t="n"/>
      <c r="AD109" s="413" t="n"/>
      <c r="AE109" s="413" t="n"/>
      <c r="AF109" s="413" t="n"/>
      <c r="AG109" s="413" t="n"/>
      <c r="AH109" s="413" t="n"/>
      <c r="AI109" s="413" t="n"/>
      <c r="AJ109" s="413" t="n"/>
      <c r="AK109" s="413" t="n"/>
      <c r="AL109" s="413" t="n"/>
      <c r="AM109" s="413" t="n"/>
      <c r="AN109" s="413" t="n"/>
    </row>
    <row r="110">
      <c r="A110" s="67" t="n"/>
      <c r="B110" s="67" t="n"/>
      <c r="C110" s="380" t="n"/>
      <c r="D110" s="67" t="n"/>
      <c r="E110" s="67" t="n"/>
      <c r="F110" s="67" t="n"/>
      <c r="G110" s="67" t="n"/>
      <c r="H110" s="67" t="n"/>
      <c r="I110" s="67" t="n"/>
      <c r="J110" s="419" t="n"/>
      <c r="K110" s="563" t="n"/>
      <c r="L110" s="67" t="n"/>
      <c r="M110" s="67" t="n"/>
      <c r="N110" s="67" t="n"/>
      <c r="O110" s="67" t="n"/>
      <c r="P110" s="67" t="n"/>
      <c r="Q110" s="413" t="n"/>
      <c r="R110" s="67" t="n"/>
      <c r="S110" s="67" t="n"/>
      <c r="T110" s="67" t="n"/>
      <c r="U110" s="471" t="n"/>
      <c r="V110" s="67" t="n"/>
      <c r="W110" s="413" t="n"/>
      <c r="X110" s="413" t="n"/>
      <c r="Y110" s="413" t="n"/>
      <c r="Z110" s="413" t="n"/>
      <c r="AA110" s="413" t="n"/>
      <c r="AB110" s="413" t="n"/>
      <c r="AC110" s="413" t="n"/>
      <c r="AD110" s="413" t="n"/>
      <c r="AE110" s="413" t="n"/>
      <c r="AF110" s="413" t="n"/>
      <c r="AG110" s="413" t="n"/>
      <c r="AH110" s="413" t="n"/>
      <c r="AI110" s="413" t="n"/>
      <c r="AJ110" s="413" t="n"/>
      <c r="AK110" s="413" t="n"/>
      <c r="AL110" s="413" t="n"/>
      <c r="AM110" s="413" t="n"/>
      <c r="AN110" s="413" t="n"/>
    </row>
    <row r="111">
      <c r="A111" s="67" t="n"/>
      <c r="B111" s="67" t="n"/>
      <c r="C111" s="380" t="n"/>
      <c r="D111" s="67" t="n"/>
      <c r="E111" s="67" t="n"/>
      <c r="F111" s="67" t="n"/>
      <c r="G111" s="67" t="n"/>
      <c r="H111" s="67" t="n"/>
      <c r="I111" s="67" t="n"/>
      <c r="J111" s="419" t="n"/>
      <c r="K111" s="563" t="n"/>
      <c r="L111" s="67" t="n"/>
      <c r="M111" s="67" t="n"/>
      <c r="N111" s="67" t="n"/>
      <c r="O111" s="67" t="n"/>
      <c r="P111" s="67" t="n"/>
      <c r="Q111" s="413" t="n"/>
      <c r="R111" s="67" t="n"/>
      <c r="S111" s="67" t="n"/>
      <c r="T111" s="67" t="n"/>
      <c r="U111" s="471" t="n"/>
      <c r="V111" s="67" t="n"/>
      <c r="W111" s="413" t="n"/>
      <c r="X111" s="413" t="n"/>
      <c r="Y111" s="413" t="n"/>
      <c r="Z111" s="413" t="n"/>
      <c r="AA111" s="413" t="n"/>
      <c r="AB111" s="413" t="n"/>
      <c r="AC111" s="413" t="n"/>
      <c r="AD111" s="413" t="n"/>
      <c r="AE111" s="413" t="n"/>
      <c r="AF111" s="413" t="n"/>
      <c r="AG111" s="413" t="n"/>
      <c r="AH111" s="413" t="n"/>
      <c r="AI111" s="413" t="n"/>
      <c r="AJ111" s="413" t="n"/>
      <c r="AK111" s="413" t="n"/>
      <c r="AL111" s="413" t="n"/>
      <c r="AM111" s="413" t="n"/>
      <c r="AN111" s="413" t="n"/>
    </row>
    <row r="112">
      <c r="A112" s="67" t="n"/>
      <c r="B112" s="67" t="n"/>
      <c r="C112" s="380" t="n"/>
      <c r="D112" s="67" t="n"/>
      <c r="E112" s="67" t="n"/>
      <c r="F112" s="67" t="n"/>
      <c r="G112" s="67" t="n"/>
      <c r="H112" s="67" t="n"/>
      <c r="I112" s="67" t="n"/>
      <c r="J112" s="419" t="n"/>
      <c r="K112" s="563" t="n"/>
      <c r="L112" s="67" t="n"/>
      <c r="M112" s="67" t="n"/>
      <c r="N112" s="67" t="n"/>
      <c r="O112" s="67" t="n"/>
      <c r="P112" s="67" t="n"/>
      <c r="Q112" s="413" t="n"/>
      <c r="R112" s="67" t="n"/>
      <c r="S112" s="67" t="n"/>
      <c r="T112" s="67" t="n"/>
      <c r="U112" s="471" t="n"/>
      <c r="V112" s="67" t="n"/>
      <c r="W112" s="413" t="n"/>
      <c r="X112" s="413" t="n"/>
      <c r="Y112" s="413" t="n"/>
      <c r="Z112" s="413" t="n"/>
      <c r="AA112" s="413" t="n"/>
      <c r="AB112" s="413" t="n"/>
      <c r="AC112" s="413" t="n"/>
      <c r="AD112" s="413" t="n"/>
      <c r="AE112" s="413" t="n"/>
      <c r="AF112" s="413" t="n"/>
      <c r="AG112" s="413" t="n"/>
      <c r="AH112" s="413" t="n"/>
      <c r="AI112" s="413" t="n"/>
      <c r="AJ112" s="413" t="n"/>
      <c r="AK112" s="413" t="n"/>
      <c r="AL112" s="413" t="n"/>
      <c r="AM112" s="413" t="n"/>
      <c r="AN112" s="413" t="n"/>
    </row>
    <row r="113">
      <c r="A113" s="67" t="n"/>
      <c r="B113" s="67" t="n"/>
      <c r="C113" s="380" t="n"/>
      <c r="D113" s="67" t="n"/>
      <c r="E113" s="67" t="n"/>
      <c r="F113" s="67" t="n"/>
      <c r="G113" s="67" t="n"/>
      <c r="H113" s="67" t="n"/>
      <c r="I113" s="67" t="n"/>
      <c r="J113" s="419" t="n"/>
      <c r="K113" s="563" t="n"/>
      <c r="L113" s="67" t="n"/>
      <c r="M113" s="67" t="n"/>
      <c r="N113" s="67" t="n"/>
      <c r="O113" s="67" t="n"/>
      <c r="P113" s="67" t="n"/>
      <c r="Q113" s="413" t="n"/>
      <c r="R113" s="67" t="n"/>
      <c r="S113" s="67" t="n"/>
      <c r="T113" s="67" t="n"/>
      <c r="U113" s="471" t="n"/>
      <c r="V113" s="67" t="n"/>
      <c r="W113" s="557" t="n"/>
      <c r="X113" s="557" t="n"/>
      <c r="Y113" s="557" t="n"/>
      <c r="Z113" s="557" t="n"/>
      <c r="AA113" s="557" t="n"/>
      <c r="AB113" s="557" t="n"/>
      <c r="AC113" s="557" t="n"/>
      <c r="AD113" s="557" t="n"/>
      <c r="AE113" s="557" t="n"/>
      <c r="AF113" s="557" t="n"/>
      <c r="AG113" s="557" t="n"/>
      <c r="AH113" s="557" t="n"/>
      <c r="AI113" s="557" t="n"/>
      <c r="AJ113" s="557" t="n"/>
      <c r="AK113" s="557" t="n"/>
      <c r="AL113" s="557" t="n"/>
      <c r="AM113" s="557" t="n"/>
      <c r="AN113" s="557" t="n"/>
    </row>
    <row r="114">
      <c r="A114" s="67" t="n"/>
      <c r="B114" s="67" t="n"/>
      <c r="C114" s="380" t="n"/>
      <c r="D114" s="67" t="n"/>
      <c r="E114" s="67" t="n"/>
      <c r="F114" s="67" t="n"/>
      <c r="G114" s="67" t="n"/>
      <c r="H114" s="67" t="n"/>
      <c r="I114" s="67" t="n"/>
      <c r="J114" s="419" t="n"/>
      <c r="K114" s="560" t="n"/>
      <c r="L114" s="67" t="n"/>
      <c r="M114" s="67" t="n"/>
      <c r="N114" s="67" t="n"/>
      <c r="O114" s="67" t="n"/>
      <c r="P114" s="67" t="n"/>
      <c r="Q114" s="413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  <c r="AI114" s="67" t="n"/>
      <c r="AJ114" s="67" t="n"/>
      <c r="AK114" s="67" t="n"/>
      <c r="AL114" s="67" t="n"/>
      <c r="AM114" s="67" t="n"/>
      <c r="AN114" s="67" t="n"/>
    </row>
    <row r="115">
      <c r="A115" s="67" t="n"/>
      <c r="B115" s="67" t="n"/>
      <c r="C115" s="380" t="n"/>
      <c r="D115" s="67" t="n"/>
      <c r="E115" s="67" t="n"/>
      <c r="F115" s="67" t="n"/>
      <c r="G115" s="67" t="n"/>
      <c r="H115" s="67" t="n"/>
      <c r="I115" s="67" t="n"/>
      <c r="J115" s="419" t="n"/>
      <c r="K115" s="563" t="n"/>
      <c r="L115" s="67" t="n"/>
      <c r="M115" s="67" t="n"/>
      <c r="N115" s="67" t="n"/>
      <c r="O115" s="67" t="n"/>
      <c r="P115" s="67" t="n"/>
      <c r="Q115" s="413" t="n"/>
      <c r="R115" s="67" t="n"/>
      <c r="S115" s="67" t="n"/>
      <c r="T115" s="67" t="n"/>
      <c r="U115" s="67" t="n"/>
      <c r="V115" s="67" t="n"/>
      <c r="W115" s="556" t="n"/>
      <c r="X115" s="556" t="n"/>
      <c r="Y115" s="556" t="n"/>
      <c r="Z115" s="556" t="n"/>
      <c r="AA115" s="556" t="n"/>
      <c r="AB115" s="556" t="n"/>
      <c r="AC115" s="556" t="n"/>
      <c r="AD115" s="556" t="n"/>
      <c r="AE115" s="556" t="n"/>
      <c r="AF115" s="556" t="n"/>
      <c r="AG115" s="556" t="n"/>
      <c r="AH115" s="556" t="n"/>
      <c r="AI115" s="556" t="n"/>
      <c r="AJ115" s="556" t="n"/>
      <c r="AK115" s="556" t="n"/>
      <c r="AL115" s="559" t="n"/>
      <c r="AM115" s="559" t="n"/>
      <c r="AN115" s="559" t="n"/>
    </row>
    <row r="116">
      <c r="A116" s="67" t="n"/>
      <c r="B116" s="67" t="n"/>
      <c r="C116" s="380" t="n"/>
      <c r="D116" s="67" t="n"/>
      <c r="E116" s="67" t="n"/>
      <c r="F116" s="67" t="n"/>
      <c r="G116" s="67" t="n"/>
      <c r="H116" s="67" t="n"/>
      <c r="I116" s="67" t="n"/>
      <c r="J116" s="419" t="n"/>
      <c r="K116" s="563" t="n"/>
      <c r="L116" s="67" t="n"/>
      <c r="M116" s="67" t="n"/>
      <c r="N116" s="67" t="n"/>
      <c r="O116" s="67" t="n"/>
      <c r="P116" s="67" t="n"/>
      <c r="Q116" s="413" t="n"/>
      <c r="R116" s="67" t="n"/>
      <c r="S116" s="67" t="n"/>
      <c r="T116" s="67" t="n"/>
      <c r="U116" s="67" t="n"/>
      <c r="V116" s="67" t="n"/>
      <c r="W116" s="67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  <c r="AI116" s="67" t="n"/>
      <c r="AJ116" s="67" t="n"/>
      <c r="AK116" s="67" t="n"/>
      <c r="AL116" s="67" t="n"/>
      <c r="AM116" s="67" t="n"/>
      <c r="AN116" s="67" t="n"/>
    </row>
    <row r="117">
      <c r="A117" s="67" t="n"/>
      <c r="B117" s="67" t="n"/>
      <c r="C117" s="380" t="n"/>
      <c r="D117" s="67" t="n"/>
      <c r="E117" s="67" t="n"/>
      <c r="F117" s="67" t="n"/>
      <c r="G117" s="67" t="n"/>
      <c r="H117" s="67" t="n"/>
      <c r="I117" s="67" t="n"/>
      <c r="J117" s="419" t="n"/>
      <c r="K117" s="563" t="n"/>
      <c r="L117" s="67" t="n"/>
      <c r="M117" s="67" t="n"/>
      <c r="N117" s="67" t="n"/>
      <c r="O117" s="67" t="n"/>
      <c r="P117" s="67" t="n"/>
      <c r="Q117" s="413" t="n"/>
      <c r="R117" s="67" t="n"/>
      <c r="S117" s="67" t="n"/>
      <c r="T117" s="67" t="n"/>
      <c r="U117" s="67" t="n"/>
      <c r="V117" s="67" t="n"/>
      <c r="W117" s="67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  <c r="AI117" s="67" t="n"/>
      <c r="AJ117" s="67" t="n"/>
      <c r="AK117" s="67" t="n"/>
      <c r="AL117" s="67" t="n"/>
      <c r="AM117" s="67" t="n"/>
      <c r="AN117" s="67" t="n"/>
    </row>
    <row r="118">
      <c r="A118" s="67" t="n"/>
      <c r="B118" s="67" t="n"/>
      <c r="C118" s="380" t="n"/>
      <c r="D118" s="67" t="n"/>
      <c r="E118" s="67" t="n"/>
      <c r="F118" s="67" t="n"/>
      <c r="G118" s="67" t="n"/>
      <c r="H118" s="67" t="n"/>
      <c r="I118" s="67" t="n"/>
      <c r="J118" s="419" t="n"/>
      <c r="K118" s="563" t="n"/>
      <c r="L118" s="67" t="n"/>
      <c r="M118" s="67" t="n"/>
      <c r="N118" s="67" t="n"/>
      <c r="O118" s="67" t="n"/>
      <c r="P118" s="67" t="n"/>
      <c r="Q118" s="413" t="n"/>
      <c r="R118" s="67" t="n"/>
      <c r="S118" s="67" t="n"/>
      <c r="T118" s="67" t="n"/>
      <c r="U118" s="67" t="n"/>
      <c r="V118" s="67" t="n"/>
      <c r="W118" s="67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  <c r="AI118" s="67" t="n"/>
      <c r="AJ118" s="67" t="n"/>
      <c r="AK118" s="67" t="n"/>
      <c r="AL118" s="67" t="n"/>
      <c r="AM118" s="67" t="n"/>
      <c r="AN118" s="67" t="n"/>
    </row>
    <row r="119">
      <c r="A119" s="67" t="n"/>
      <c r="B119" s="67" t="n"/>
      <c r="C119" s="380" t="n"/>
      <c r="D119" s="67" t="n"/>
      <c r="E119" s="67" t="n"/>
      <c r="F119" s="67" t="n"/>
      <c r="G119" s="67" t="n"/>
      <c r="H119" s="67" t="n"/>
      <c r="I119" s="67" t="n"/>
      <c r="J119" s="419" t="n"/>
      <c r="K119" s="563" t="n"/>
      <c r="L119" s="67" t="n"/>
      <c r="M119" s="67" t="n"/>
      <c r="N119" s="67" t="n"/>
      <c r="O119" s="67" t="n"/>
      <c r="P119" s="67" t="n"/>
      <c r="Q119" s="413" t="n"/>
      <c r="R119" s="67" t="n"/>
      <c r="S119" s="67" t="n"/>
      <c r="T119" s="67" t="n"/>
      <c r="U119" s="67" t="n"/>
      <c r="V119" s="67" t="n"/>
      <c r="W119" s="67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  <c r="AI119" s="67" t="n"/>
      <c r="AJ119" s="67" t="n"/>
      <c r="AK119" s="67" t="n"/>
      <c r="AL119" s="67" t="n"/>
      <c r="AM119" s="67" t="n"/>
      <c r="AN119" s="67" t="n"/>
    </row>
    <row r="120">
      <c r="A120" s="67" t="n"/>
      <c r="B120" s="67" t="n"/>
      <c r="C120" s="380" t="n"/>
      <c r="D120" s="67" t="n"/>
      <c r="E120" s="67" t="n"/>
      <c r="F120" s="67" t="n"/>
      <c r="G120" s="67" t="n"/>
      <c r="H120" s="67" t="n"/>
      <c r="I120" s="67" t="n"/>
      <c r="J120" s="419" t="n"/>
      <c r="K120" s="563" t="n"/>
      <c r="L120" s="67" t="n"/>
      <c r="M120" s="67" t="n"/>
      <c r="N120" s="67" t="n"/>
      <c r="O120" s="67" t="n"/>
      <c r="P120" s="67" t="n"/>
      <c r="Q120" s="413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  <c r="AI120" s="67" t="n"/>
      <c r="AJ120" s="67" t="n"/>
      <c r="AK120" s="67" t="n"/>
      <c r="AL120" s="67" t="n"/>
      <c r="AM120" s="67" t="n"/>
      <c r="AN120" s="67" t="n"/>
    </row>
    <row r="121">
      <c r="A121" s="67" t="n"/>
      <c r="B121" s="67" t="n"/>
      <c r="C121" s="380" t="n"/>
      <c r="D121" s="67" t="n"/>
      <c r="E121" s="67" t="n"/>
      <c r="F121" s="67" t="n"/>
      <c r="G121" s="67" t="n"/>
      <c r="H121" s="67" t="n"/>
      <c r="I121" s="67" t="n"/>
      <c r="J121" s="419" t="n"/>
      <c r="K121" s="563" t="n"/>
      <c r="L121" s="67" t="n"/>
      <c r="M121" s="67" t="n"/>
      <c r="N121" s="67" t="n"/>
      <c r="O121" s="67" t="n"/>
      <c r="P121" s="67" t="n"/>
      <c r="Q121" s="413" t="n"/>
      <c r="R121" s="67" t="n"/>
      <c r="S121" s="67" t="n"/>
      <c r="T121" s="67" t="n"/>
      <c r="U121" s="67" t="n"/>
      <c r="V121" s="67" t="n"/>
      <c r="W121" s="67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  <c r="AI121" s="67" t="n"/>
      <c r="AJ121" s="67" t="n"/>
      <c r="AK121" s="67" t="n"/>
      <c r="AL121" s="67" t="n"/>
      <c r="AM121" s="67" t="n"/>
      <c r="AN121" s="67" t="n"/>
    </row>
    <row r="122">
      <c r="A122" s="67" t="n"/>
      <c r="B122" s="67" t="n"/>
      <c r="C122" s="380" t="n"/>
      <c r="D122" s="67" t="n"/>
      <c r="E122" s="67" t="n"/>
      <c r="F122" s="67" t="n"/>
      <c r="G122" s="67" t="n"/>
      <c r="H122" s="67" t="n"/>
      <c r="I122" s="67" t="n"/>
      <c r="J122" s="419" t="n"/>
      <c r="K122" s="563" t="n"/>
      <c r="L122" s="67" t="n"/>
      <c r="M122" s="67" t="n"/>
      <c r="N122" s="67" t="n"/>
      <c r="O122" s="67" t="n"/>
      <c r="P122" s="67" t="n"/>
      <c r="Q122" s="413" t="n"/>
      <c r="R122" s="67" t="n"/>
      <c r="S122" s="67" t="n"/>
      <c r="T122" s="67" t="n"/>
      <c r="U122" s="67" t="n"/>
      <c r="V122" s="67" t="n"/>
      <c r="W122" s="67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  <c r="AI122" s="67" t="n"/>
      <c r="AJ122" s="67" t="n"/>
      <c r="AK122" s="67" t="n"/>
      <c r="AL122" s="67" t="n"/>
      <c r="AM122" s="67" t="n"/>
      <c r="AN122" s="67" t="n"/>
    </row>
    <row r="123">
      <c r="A123" s="67" t="n"/>
      <c r="B123" s="67" t="n"/>
      <c r="C123" s="380" t="n"/>
      <c r="D123" s="67" t="n"/>
      <c r="E123" s="67" t="n"/>
      <c r="F123" s="67" t="n"/>
      <c r="G123" s="67" t="n"/>
      <c r="H123" s="67" t="n"/>
      <c r="I123" s="67" t="n"/>
      <c r="J123" s="419" t="n"/>
      <c r="K123" s="563" t="n"/>
      <c r="L123" s="67" t="n"/>
      <c r="M123" s="67" t="n"/>
      <c r="N123" s="67" t="n"/>
      <c r="O123" s="67" t="n"/>
      <c r="P123" s="67" t="n"/>
      <c r="Q123" s="413" t="n"/>
      <c r="R123" s="67" t="n"/>
      <c r="S123" s="67" t="n"/>
      <c r="T123" s="67" t="n"/>
      <c r="U123" s="67" t="n"/>
      <c r="V123" s="67" t="n"/>
      <c r="W123" s="67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  <c r="AI123" s="67" t="n"/>
      <c r="AJ123" s="67" t="n"/>
      <c r="AK123" s="67" t="n"/>
      <c r="AL123" s="67" t="n"/>
      <c r="AM123" s="67" t="n"/>
      <c r="AN123" s="67" t="n"/>
    </row>
    <row r="124">
      <c r="A124" s="67" t="n"/>
      <c r="B124" s="67" t="n"/>
      <c r="C124" s="380" t="n"/>
      <c r="D124" s="67" t="n"/>
      <c r="E124" s="67" t="n"/>
      <c r="F124" s="67" t="n"/>
      <c r="G124" s="67" t="n"/>
      <c r="H124" s="67" t="n"/>
      <c r="I124" s="67" t="n"/>
      <c r="J124" s="419" t="n"/>
      <c r="K124" s="563" t="n"/>
      <c r="L124" s="67" t="n"/>
      <c r="M124" s="67" t="n"/>
      <c r="N124" s="67" t="n"/>
      <c r="O124" s="67" t="n"/>
      <c r="P124" s="67" t="n"/>
      <c r="Q124" s="413" t="n"/>
      <c r="R124" s="67" t="n"/>
      <c r="S124" s="67" t="n"/>
      <c r="T124" s="67" t="n"/>
      <c r="U124" s="67" t="n"/>
      <c r="V124" s="67" t="n"/>
      <c r="W124" s="67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  <c r="AI124" s="67" t="n"/>
      <c r="AJ124" s="67" t="n"/>
      <c r="AK124" s="67" t="n"/>
      <c r="AL124" s="67" t="n"/>
      <c r="AM124" s="67" t="n"/>
      <c r="AN124" s="67" t="n"/>
    </row>
    <row r="125">
      <c r="A125" s="67" t="n"/>
      <c r="B125" s="67" t="n"/>
      <c r="C125" s="380" t="n"/>
      <c r="D125" s="67" t="n"/>
      <c r="E125" s="67" t="n"/>
      <c r="F125" s="67" t="n"/>
      <c r="G125" s="67" t="n"/>
      <c r="H125" s="67" t="n"/>
      <c r="I125" s="67" t="n"/>
      <c r="J125" s="419" t="n"/>
      <c r="K125" s="563" t="n"/>
      <c r="L125" s="67" t="n"/>
      <c r="M125" s="67" t="n"/>
      <c r="N125" s="67" t="n"/>
      <c r="O125" s="67" t="n"/>
      <c r="P125" s="67" t="n"/>
      <c r="Q125" s="413" t="n"/>
      <c r="R125" s="67" t="n"/>
      <c r="S125" s="67" t="n"/>
      <c r="T125" s="67" t="n"/>
      <c r="U125" s="67" t="n"/>
      <c r="V125" s="67" t="n"/>
      <c r="W125" s="67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  <c r="AI125" s="67" t="n"/>
      <c r="AJ125" s="67" t="n"/>
      <c r="AK125" s="67" t="n"/>
      <c r="AL125" s="67" t="n"/>
      <c r="AM125" s="67" t="n"/>
      <c r="AN125" s="67" t="n"/>
    </row>
    <row r="126">
      <c r="A126" s="67" t="n"/>
      <c r="B126" s="67" t="n"/>
      <c r="C126" s="380" t="n"/>
      <c r="D126" s="67" t="n"/>
      <c r="E126" s="67" t="n"/>
      <c r="F126" s="67" t="n"/>
      <c r="G126" s="67" t="n"/>
      <c r="H126" s="67" t="n"/>
      <c r="I126" s="67" t="n"/>
      <c r="J126" s="419" t="n"/>
      <c r="K126" s="563" t="n"/>
      <c r="L126" s="67" t="n"/>
      <c r="M126" s="67" t="n"/>
      <c r="N126" s="67" t="n"/>
      <c r="O126" s="67" t="n"/>
      <c r="P126" s="67" t="n"/>
      <c r="Q126" s="413" t="n"/>
      <c r="R126" s="67" t="n"/>
      <c r="S126" s="67" t="n"/>
      <c r="T126" s="67" t="n"/>
      <c r="U126" s="67" t="n"/>
      <c r="V126" s="67" t="n"/>
      <c r="W126" s="67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  <c r="AI126" s="67" t="n"/>
      <c r="AJ126" s="67" t="n"/>
      <c r="AK126" s="67" t="n"/>
      <c r="AL126" s="67" t="n"/>
      <c r="AM126" s="67" t="n"/>
      <c r="AN126" s="67" t="n"/>
    </row>
    <row r="127">
      <c r="A127" s="67" t="n"/>
      <c r="B127" s="67" t="n"/>
      <c r="C127" s="380" t="n"/>
      <c r="D127" s="67" t="n"/>
      <c r="E127" s="67" t="n"/>
      <c r="F127" s="67" t="n"/>
      <c r="G127" s="67" t="n"/>
      <c r="H127" s="67" t="n"/>
      <c r="I127" s="67" t="n"/>
      <c r="J127" s="419" t="n"/>
      <c r="K127" s="563" t="n"/>
      <c r="L127" s="67" t="n"/>
      <c r="M127" s="67" t="n"/>
      <c r="N127" s="67" t="n"/>
      <c r="O127" s="67" t="n"/>
      <c r="P127" s="67" t="n"/>
      <c r="Q127" s="413" t="n"/>
      <c r="R127" s="67" t="n"/>
      <c r="S127" s="67" t="n"/>
      <c r="T127" s="67" t="n"/>
      <c r="U127" s="471" t="n"/>
      <c r="V127" s="67" t="n"/>
      <c r="W127" s="67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  <c r="AI127" s="67" t="n"/>
      <c r="AJ127" s="67" t="n"/>
      <c r="AK127" s="67" t="n"/>
      <c r="AL127" s="67" t="n"/>
      <c r="AM127" s="67" t="n"/>
      <c r="AN127" s="67" t="n"/>
    </row>
    <row r="128">
      <c r="A128" s="67" t="n"/>
      <c r="B128" s="67" t="n"/>
      <c r="C128" s="380" t="n"/>
      <c r="D128" s="67" t="n"/>
      <c r="E128" s="67" t="n"/>
      <c r="F128" s="67" t="n"/>
      <c r="G128" s="67" t="n"/>
      <c r="H128" s="67" t="n"/>
      <c r="I128" s="67" t="n"/>
      <c r="J128" s="419" t="n"/>
      <c r="K128" s="563" t="n"/>
      <c r="L128" s="67" t="n"/>
      <c r="M128" s="67" t="n"/>
      <c r="N128" s="67" t="n"/>
      <c r="O128" s="67" t="n"/>
      <c r="P128" s="67" t="n"/>
      <c r="Q128" s="413" t="n"/>
      <c r="R128" s="67" t="n"/>
      <c r="S128" s="67" t="n"/>
      <c r="T128" s="67" t="n"/>
      <c r="U128" s="471" t="n"/>
      <c r="V128" s="67" t="n"/>
      <c r="W128" s="557" t="n"/>
      <c r="X128" s="557" t="n"/>
      <c r="Y128" s="557" t="n"/>
      <c r="Z128" s="557" t="n"/>
      <c r="AA128" s="557" t="n"/>
      <c r="AB128" s="557" t="n"/>
      <c r="AC128" s="557" t="n"/>
      <c r="AD128" s="557" t="n"/>
      <c r="AE128" s="557" t="n"/>
      <c r="AF128" s="557" t="n"/>
      <c r="AG128" s="557" t="n"/>
      <c r="AH128" s="557" t="n"/>
      <c r="AI128" s="557" t="n"/>
      <c r="AJ128" s="557" t="n"/>
      <c r="AK128" s="557" t="n"/>
      <c r="AL128" s="557" t="n"/>
      <c r="AM128" s="557" t="n"/>
      <c r="AN128" s="557" t="n"/>
    </row>
    <row r="129">
      <c r="A129" s="67" t="n"/>
      <c r="B129" s="67" t="n"/>
      <c r="C129" s="380" t="n"/>
      <c r="D129" s="67" t="n"/>
      <c r="E129" s="67" t="n"/>
      <c r="F129" s="67" t="n"/>
      <c r="G129" s="67" t="n"/>
      <c r="H129" s="67" t="n"/>
      <c r="I129" s="67" t="n"/>
      <c r="J129" s="419" t="n"/>
      <c r="K129" s="563" t="n"/>
      <c r="L129" s="67" t="n"/>
      <c r="M129" s="67" t="n"/>
      <c r="N129" s="67" t="n"/>
      <c r="O129" s="67" t="n"/>
      <c r="P129" s="67" t="n"/>
      <c r="Q129" s="413" t="n"/>
      <c r="R129" s="67" t="n"/>
      <c r="S129" s="67" t="n"/>
      <c r="T129" s="67" t="n"/>
      <c r="U129" s="471" t="n"/>
      <c r="V129" s="67" t="n"/>
      <c r="W129" s="557" t="n"/>
      <c r="X129" s="557" t="n"/>
      <c r="Y129" s="557" t="n"/>
      <c r="Z129" s="557" t="n"/>
      <c r="AA129" s="557" t="n"/>
      <c r="AB129" s="557" t="n"/>
      <c r="AC129" s="557" t="n"/>
      <c r="AD129" s="557" t="n"/>
      <c r="AE129" s="557" t="n"/>
      <c r="AF129" s="557" t="n"/>
      <c r="AG129" s="557" t="n"/>
      <c r="AH129" s="557" t="n"/>
      <c r="AI129" s="557" t="n"/>
      <c r="AJ129" s="557" t="n"/>
      <c r="AK129" s="557" t="n"/>
      <c r="AL129" s="557" t="n"/>
      <c r="AM129" s="557" t="n"/>
      <c r="AN129" s="557" t="n"/>
    </row>
    <row r="130">
      <c r="A130" s="67" t="n"/>
      <c r="B130" s="67" t="n"/>
      <c r="C130" s="380" t="n"/>
      <c r="D130" s="67" t="n"/>
      <c r="E130" s="67" t="n"/>
      <c r="F130" s="67" t="n"/>
      <c r="G130" s="67" t="n"/>
      <c r="H130" s="67" t="n"/>
      <c r="I130" s="67" t="n"/>
      <c r="J130" s="419" t="n"/>
      <c r="K130" s="563" t="n"/>
      <c r="L130" s="67" t="n"/>
      <c r="M130" s="67" t="n"/>
      <c r="N130" s="67" t="n"/>
      <c r="O130" s="67" t="n"/>
      <c r="P130" s="67" t="n"/>
      <c r="Q130" s="413" t="n"/>
      <c r="R130" s="67" t="n"/>
      <c r="S130" s="67" t="n"/>
      <c r="T130" s="67" t="n"/>
      <c r="U130" s="471" t="n"/>
      <c r="V130" s="67" t="n"/>
      <c r="W130" s="413" t="n"/>
      <c r="X130" s="413" t="n"/>
      <c r="Y130" s="413" t="n"/>
      <c r="Z130" s="413" t="n"/>
      <c r="AA130" s="413" t="n"/>
      <c r="AB130" s="413" t="n"/>
      <c r="AC130" s="413" t="n"/>
      <c r="AD130" s="413" t="n"/>
      <c r="AE130" s="413" t="n"/>
      <c r="AF130" s="413" t="n"/>
      <c r="AG130" s="413" t="n"/>
      <c r="AH130" s="413" t="n"/>
      <c r="AI130" s="413" t="n"/>
      <c r="AJ130" s="413" t="n"/>
      <c r="AK130" s="413" t="n"/>
      <c r="AL130" s="413" t="n"/>
      <c r="AM130" s="413" t="n"/>
      <c r="AN130" s="413" t="n"/>
    </row>
    <row r="131">
      <c r="A131" s="67" t="n"/>
      <c r="B131" s="67" t="n"/>
      <c r="C131" s="380" t="n"/>
      <c r="D131" s="67" t="n"/>
      <c r="E131" s="67" t="n"/>
      <c r="F131" s="67" t="n"/>
      <c r="G131" s="67" t="n"/>
      <c r="H131" s="67" t="n"/>
      <c r="I131" s="67" t="n"/>
      <c r="J131" s="419" t="n"/>
      <c r="K131" s="560" t="n"/>
      <c r="L131" s="67" t="n"/>
      <c r="M131" s="67" t="n"/>
      <c r="N131" s="67" t="n"/>
      <c r="O131" s="67" t="n"/>
      <c r="P131" s="67" t="n"/>
      <c r="Q131" s="413" t="n"/>
      <c r="R131" s="67" t="n"/>
      <c r="S131" s="67" t="n"/>
      <c r="T131" s="67" t="n"/>
      <c r="U131" s="471" t="n"/>
      <c r="V131" s="67" t="n"/>
      <c r="W131" s="557" t="n"/>
      <c r="X131" s="557" t="n"/>
      <c r="Y131" s="557" t="n"/>
      <c r="Z131" s="557" t="n"/>
      <c r="AA131" s="557" t="n"/>
      <c r="AB131" s="557" t="n"/>
      <c r="AC131" s="557" t="n"/>
      <c r="AD131" s="557" t="n"/>
      <c r="AE131" s="557" t="n"/>
      <c r="AF131" s="557" t="n"/>
      <c r="AG131" s="557" t="n"/>
      <c r="AH131" s="557" t="n"/>
      <c r="AI131" s="557" t="n"/>
      <c r="AJ131" s="557" t="n"/>
      <c r="AK131" s="557" t="n"/>
      <c r="AL131" s="561" t="n"/>
      <c r="AM131" s="561" t="n"/>
      <c r="AN131" s="561" t="n"/>
    </row>
    <row r="132">
      <c r="A132" s="67" t="n"/>
      <c r="B132" s="67" t="n"/>
      <c r="C132" s="380" t="n"/>
      <c r="D132" s="67" t="n"/>
      <c r="E132" s="67" t="n"/>
      <c r="F132" s="67" t="n"/>
      <c r="G132" s="67" t="n"/>
      <c r="H132" s="67" t="n"/>
      <c r="I132" s="67" t="n"/>
      <c r="J132" s="419" t="n"/>
      <c r="K132" s="563" t="n"/>
      <c r="L132" s="67" t="n"/>
      <c r="M132" s="67" t="n"/>
      <c r="N132" s="67" t="n"/>
      <c r="O132" s="67" t="n"/>
      <c r="P132" s="67" t="n"/>
      <c r="Q132" s="413" t="n"/>
      <c r="R132" s="67" t="n"/>
      <c r="S132" s="67" t="n"/>
      <c r="T132" s="67" t="n"/>
      <c r="U132" s="471" t="n"/>
      <c r="V132" s="67" t="n"/>
      <c r="W132" s="557" t="n"/>
      <c r="X132" s="557" t="n"/>
      <c r="Y132" s="557" t="n"/>
      <c r="Z132" s="557" t="n"/>
      <c r="AA132" s="557" t="n"/>
      <c r="AB132" s="557" t="n"/>
      <c r="AC132" s="557" t="n"/>
      <c r="AD132" s="557" t="n"/>
      <c r="AE132" s="557" t="n"/>
      <c r="AF132" s="557" t="n"/>
      <c r="AG132" s="557" t="n"/>
      <c r="AH132" s="557" t="n"/>
      <c r="AI132" s="557" t="n"/>
      <c r="AJ132" s="557" t="n"/>
      <c r="AK132" s="557" t="n"/>
      <c r="AL132" s="561" t="n"/>
      <c r="AM132" s="561" t="n"/>
      <c r="AN132" s="561" t="n"/>
    </row>
    <row r="133">
      <c r="A133" s="67" t="n"/>
      <c r="B133" s="67" t="n"/>
      <c r="C133" s="380" t="n"/>
      <c r="D133" s="67" t="n"/>
      <c r="E133" s="67" t="n"/>
      <c r="F133" s="67" t="n"/>
      <c r="G133" s="67" t="n"/>
      <c r="H133" s="67" t="n"/>
      <c r="I133" s="67" t="n"/>
      <c r="J133" s="419" t="n"/>
      <c r="K133" s="563" t="n"/>
      <c r="L133" s="67" t="n"/>
      <c r="M133" s="67" t="n"/>
      <c r="N133" s="67" t="n"/>
      <c r="O133" s="67" t="n"/>
      <c r="P133" s="67" t="n"/>
      <c r="Q133" s="413" t="n"/>
      <c r="R133" s="67" t="n"/>
      <c r="S133" s="67" t="n"/>
      <c r="T133" s="67" t="n"/>
      <c r="U133" s="471" t="n"/>
      <c r="V133" s="67" t="n"/>
      <c r="W133" s="413" t="n"/>
      <c r="X133" s="413" t="n"/>
      <c r="Y133" s="413" t="n"/>
      <c r="Z133" s="413" t="n"/>
      <c r="AA133" s="413" t="n"/>
      <c r="AB133" s="413" t="n"/>
      <c r="AC133" s="413" t="n"/>
      <c r="AD133" s="413" t="n"/>
      <c r="AE133" s="413" t="n"/>
      <c r="AF133" s="413" t="n"/>
      <c r="AG133" s="413" t="n"/>
      <c r="AH133" s="413" t="n"/>
      <c r="AI133" s="413" t="n"/>
      <c r="AJ133" s="413" t="n"/>
      <c r="AK133" s="413" t="n"/>
      <c r="AL133" s="562" t="n"/>
      <c r="AM133" s="562" t="n"/>
      <c r="AN133" s="562" t="n"/>
    </row>
    <row r="134">
      <c r="A134" s="67" t="n"/>
      <c r="B134" s="67" t="n"/>
      <c r="C134" s="380" t="n"/>
      <c r="D134" s="67" t="n"/>
      <c r="E134" s="67" t="n"/>
      <c r="F134" s="67" t="n"/>
      <c r="G134" s="67" t="n"/>
      <c r="H134" s="67" t="n"/>
      <c r="I134" s="67" t="n"/>
      <c r="J134" s="419" t="n"/>
      <c r="K134" s="563" t="n"/>
      <c r="L134" s="67" t="n"/>
      <c r="M134" s="67" t="n"/>
      <c r="N134" s="67" t="n"/>
      <c r="O134" s="67" t="n"/>
      <c r="P134" s="67" t="n"/>
      <c r="Q134" s="413" t="n"/>
      <c r="R134" s="67" t="n"/>
      <c r="S134" s="67" t="n"/>
      <c r="T134" s="67" t="n"/>
      <c r="U134" s="67" t="n"/>
      <c r="V134" s="67" t="n"/>
      <c r="W134" s="67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  <c r="AI134" s="67" t="n"/>
      <c r="AJ134" s="67" t="n"/>
      <c r="AK134" s="67" t="n"/>
      <c r="AL134" s="530" t="n"/>
      <c r="AM134" s="530" t="n"/>
      <c r="AN134" s="530" t="n"/>
    </row>
    <row r="135">
      <c r="A135" s="67" t="n"/>
      <c r="B135" s="67" t="n"/>
      <c r="C135" s="380" t="n"/>
      <c r="D135" s="67" t="n"/>
      <c r="E135" s="67" t="n"/>
      <c r="F135" s="67" t="n"/>
      <c r="G135" s="67" t="n"/>
      <c r="H135" s="67" t="n"/>
      <c r="I135" s="67" t="n"/>
      <c r="J135" s="419" t="n"/>
      <c r="K135" s="563" t="n"/>
      <c r="L135" s="67" t="n"/>
      <c r="M135" s="67" t="n"/>
      <c r="N135" s="67" t="n"/>
      <c r="O135" s="67" t="n"/>
      <c r="P135" s="67" t="n"/>
      <c r="Q135" s="413" t="n"/>
      <c r="R135" s="67" t="n"/>
      <c r="S135" s="67" t="n"/>
      <c r="T135" s="67" t="n"/>
      <c r="U135" s="67" t="n"/>
      <c r="V135" s="67" t="n"/>
      <c r="W135" s="67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  <c r="AI135" s="67" t="n"/>
      <c r="AJ135" s="67" t="n"/>
      <c r="AK135" s="67" t="n"/>
      <c r="AL135" s="530" t="n"/>
      <c r="AM135" s="530" t="n"/>
      <c r="AN135" s="530" t="n"/>
    </row>
    <row r="136">
      <c r="A136" s="67" t="n"/>
      <c r="B136" s="67" t="n"/>
      <c r="C136" s="380" t="n"/>
      <c r="D136" s="67" t="n"/>
      <c r="E136" s="67" t="n"/>
      <c r="F136" s="67" t="n"/>
      <c r="G136" s="67" t="n"/>
      <c r="H136" s="67" t="n"/>
      <c r="I136" s="67" t="n"/>
      <c r="J136" s="419" t="n"/>
      <c r="K136" s="560" t="n"/>
      <c r="L136" s="67" t="n"/>
      <c r="M136" s="67" t="n"/>
      <c r="N136" s="67" t="n"/>
      <c r="O136" s="67" t="n"/>
      <c r="P136" s="67" t="n"/>
      <c r="Q136" s="413" t="n"/>
      <c r="R136" s="67" t="n"/>
      <c r="S136" s="67" t="n"/>
      <c r="T136" s="67" t="n"/>
      <c r="U136" s="67" t="n"/>
      <c r="V136" s="67" t="n"/>
      <c r="W136" s="67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  <c r="AI136" s="67" t="n"/>
      <c r="AJ136" s="67" t="n"/>
      <c r="AK136" s="67" t="n"/>
      <c r="AL136" s="530" t="n"/>
      <c r="AM136" s="530" t="n"/>
      <c r="AN136" s="530" t="n"/>
    </row>
    <row r="137">
      <c r="A137" s="67" t="n"/>
      <c r="B137" s="67" t="n"/>
      <c r="C137" s="380" t="n"/>
      <c r="D137" s="67" t="n"/>
      <c r="E137" s="67" t="n"/>
      <c r="F137" s="67" t="n"/>
      <c r="G137" s="67" t="n"/>
      <c r="H137" s="67" t="n"/>
      <c r="I137" s="67" t="n"/>
      <c r="J137" s="419" t="n"/>
      <c r="K137" s="563" t="n"/>
      <c r="L137" s="67" t="n"/>
      <c r="M137" s="67" t="n"/>
      <c r="N137" s="67" t="n"/>
      <c r="O137" s="67" t="n"/>
      <c r="P137" s="67" t="n"/>
      <c r="Q137" s="413" t="n"/>
      <c r="R137" s="67" t="n"/>
      <c r="S137" s="67" t="n"/>
      <c r="T137" s="67" t="n"/>
      <c r="U137" s="67" t="n"/>
      <c r="V137" s="67" t="n"/>
      <c r="W137" s="67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  <c r="AI137" s="67" t="n"/>
      <c r="AJ137" s="67" t="n"/>
      <c r="AK137" s="67" t="n"/>
      <c r="AL137" s="530" t="n"/>
      <c r="AM137" s="530" t="n"/>
      <c r="AN137" s="530" t="n"/>
    </row>
    <row r="138">
      <c r="A138" s="67" t="n"/>
      <c r="B138" s="67" t="n"/>
      <c r="C138" s="380" t="n"/>
      <c r="D138" s="67" t="n"/>
      <c r="E138" s="67" t="n"/>
      <c r="F138" s="67" t="n"/>
      <c r="G138" s="67" t="n"/>
      <c r="H138" s="67" t="n"/>
      <c r="I138" s="67" t="n"/>
      <c r="J138" s="419" t="n"/>
      <c r="K138" s="563" t="n"/>
      <c r="L138" s="67" t="n"/>
      <c r="M138" s="67" t="n"/>
      <c r="N138" s="67" t="n"/>
      <c r="O138" s="67" t="n"/>
      <c r="P138" s="67" t="n"/>
      <c r="Q138" s="413" t="n"/>
      <c r="R138" s="67" t="n"/>
      <c r="S138" s="67" t="n"/>
      <c r="T138" s="67" t="n"/>
      <c r="U138" s="67" t="n"/>
      <c r="V138" s="67" t="n"/>
      <c r="W138" s="67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  <c r="AI138" s="67" t="n"/>
      <c r="AJ138" s="67" t="n"/>
      <c r="AK138" s="67" t="n"/>
      <c r="AL138" s="530" t="n"/>
      <c r="AM138" s="530" t="n"/>
      <c r="AN138" s="530" t="n"/>
    </row>
    <row r="139">
      <c r="A139" s="67" t="n"/>
      <c r="B139" s="67" t="n"/>
      <c r="C139" s="380" t="n"/>
      <c r="D139" s="67" t="n"/>
      <c r="E139" s="67" t="n"/>
      <c r="F139" s="67" t="n"/>
      <c r="G139" s="67" t="n"/>
      <c r="H139" s="67" t="n"/>
      <c r="I139" s="67" t="n"/>
      <c r="J139" s="419" t="n"/>
      <c r="K139" s="563" t="n"/>
      <c r="L139" s="67" t="n"/>
      <c r="M139" s="67" t="n"/>
      <c r="N139" s="67" t="n"/>
      <c r="O139" s="67" t="n"/>
      <c r="P139" s="67" t="n"/>
      <c r="Q139" s="413" t="n"/>
      <c r="R139" s="67" t="n"/>
      <c r="S139" s="67" t="n"/>
      <c r="T139" s="67" t="n"/>
      <c r="U139" s="67" t="n"/>
      <c r="V139" s="67" t="n"/>
      <c r="W139" s="67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  <c r="AI139" s="67" t="n"/>
      <c r="AJ139" s="67" t="n"/>
      <c r="AK139" s="67" t="n"/>
      <c r="AL139" s="530" t="n"/>
      <c r="AM139" s="530" t="n"/>
      <c r="AN139" s="530" t="n"/>
    </row>
    <row r="140">
      <c r="A140" s="67" t="n"/>
      <c r="B140" s="67" t="n"/>
      <c r="C140" s="380" t="n"/>
      <c r="D140" s="67" t="n"/>
      <c r="E140" s="67" t="n"/>
      <c r="F140" s="67" t="n"/>
      <c r="G140" s="67" t="n"/>
      <c r="H140" s="67" t="n"/>
      <c r="I140" s="67" t="n"/>
      <c r="J140" s="419" t="n"/>
      <c r="K140" s="563" t="n"/>
      <c r="L140" s="67" t="n"/>
      <c r="M140" s="67" t="n"/>
      <c r="N140" s="67" t="n"/>
      <c r="O140" s="67" t="n"/>
      <c r="P140" s="67" t="n"/>
      <c r="Q140" s="413" t="n"/>
      <c r="R140" s="67" t="n"/>
      <c r="S140" s="67" t="n"/>
      <c r="T140" s="67" t="n"/>
      <c r="U140" s="67" t="n"/>
      <c r="V140" s="67" t="n"/>
      <c r="W140" s="67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  <c r="AI140" s="67" t="n"/>
      <c r="AJ140" s="67" t="n"/>
      <c r="AK140" s="67" t="n"/>
      <c r="AL140" s="530" t="n"/>
      <c r="AM140" s="530" t="n"/>
      <c r="AN140" s="530" t="n"/>
    </row>
    <row r="141">
      <c r="A141" s="67" t="n"/>
      <c r="B141" s="67" t="n"/>
      <c r="C141" s="380" t="n"/>
      <c r="D141" s="67" t="n"/>
      <c r="E141" s="67" t="n"/>
      <c r="F141" s="67" t="n"/>
      <c r="G141" s="67" t="n"/>
      <c r="H141" s="67" t="n"/>
      <c r="I141" s="67" t="n"/>
      <c r="J141" s="419" t="n"/>
      <c r="K141" s="563" t="n"/>
      <c r="L141" s="67" t="n"/>
      <c r="M141" s="67" t="n"/>
      <c r="N141" s="67" t="n"/>
      <c r="O141" s="67" t="n"/>
      <c r="P141" s="67" t="n"/>
      <c r="Q141" s="413" t="n"/>
      <c r="R141" s="67" t="n"/>
      <c r="S141" s="67" t="n"/>
      <c r="T141" s="67" t="n"/>
      <c r="U141" s="67" t="n"/>
      <c r="V141" s="67" t="n"/>
      <c r="W141" s="67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  <c r="AI141" s="67" t="n"/>
      <c r="AJ141" s="67" t="n"/>
      <c r="AK141" s="67" t="n"/>
      <c r="AL141" s="530" t="n"/>
      <c r="AM141" s="530" t="n"/>
      <c r="AN141" s="530" t="n"/>
    </row>
    <row r="142">
      <c r="A142" s="67" t="n"/>
      <c r="B142" s="67" t="n"/>
      <c r="C142" s="380" t="n"/>
      <c r="D142" s="67" t="n"/>
      <c r="E142" s="67" t="n"/>
      <c r="F142" s="67" t="n"/>
      <c r="G142" s="67" t="n"/>
      <c r="H142" s="67" t="n"/>
      <c r="I142" s="67" t="n"/>
      <c r="J142" s="419" t="n"/>
      <c r="K142" s="563" t="n"/>
      <c r="L142" s="67" t="n"/>
      <c r="M142" s="67" t="n"/>
      <c r="N142" s="67" t="n"/>
      <c r="O142" s="67" t="n"/>
      <c r="P142" s="67" t="n"/>
      <c r="Q142" s="413" t="n"/>
      <c r="R142" s="67" t="n"/>
      <c r="S142" s="67" t="n"/>
      <c r="T142" s="67" t="n"/>
      <c r="U142" s="67" t="n"/>
      <c r="V142" s="67" t="n"/>
      <c r="W142" s="67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  <c r="AI142" s="67" t="n"/>
      <c r="AJ142" s="67" t="n"/>
      <c r="AK142" s="67" t="n"/>
      <c r="AL142" s="530" t="n"/>
      <c r="AM142" s="530" t="n"/>
      <c r="AN142" s="530" t="n"/>
    </row>
    <row r="143">
      <c r="A143" s="67" t="n"/>
      <c r="B143" s="67" t="n"/>
      <c r="C143" s="380" t="n"/>
      <c r="D143" s="67" t="n"/>
      <c r="E143" s="67" t="n"/>
      <c r="F143" s="67" t="n"/>
      <c r="G143" s="67" t="n"/>
      <c r="H143" s="67" t="n"/>
      <c r="I143" s="67" t="n"/>
      <c r="J143" s="419" t="n"/>
      <c r="K143" s="563" t="n"/>
      <c r="L143" s="67" t="n"/>
      <c r="M143" s="67" t="n"/>
      <c r="N143" s="67" t="n"/>
      <c r="O143" s="67" t="n"/>
      <c r="P143" s="67" t="n"/>
      <c r="Q143" s="413" t="n"/>
      <c r="R143" s="67" t="n"/>
      <c r="S143" s="67" t="n"/>
      <c r="T143" s="67" t="n"/>
      <c r="U143" s="67" t="n"/>
      <c r="V143" s="67" t="n"/>
      <c r="W143" s="67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  <c r="AI143" s="67" t="n"/>
      <c r="AJ143" s="67" t="n"/>
      <c r="AK143" s="67" t="n"/>
      <c r="AL143" s="530" t="n"/>
      <c r="AM143" s="530" t="n"/>
      <c r="AN143" s="530" t="n"/>
    </row>
    <row r="144">
      <c r="A144" s="67" t="n"/>
      <c r="B144" s="67" t="n"/>
      <c r="C144" s="380" t="n"/>
      <c r="D144" s="67" t="n"/>
      <c r="E144" s="67" t="n"/>
      <c r="F144" s="67" t="n"/>
      <c r="G144" s="67" t="n"/>
      <c r="H144" s="67" t="n"/>
      <c r="I144" s="67" t="n"/>
      <c r="J144" s="419" t="n"/>
      <c r="K144" s="563" t="n"/>
      <c r="L144" s="67" t="n"/>
      <c r="M144" s="67" t="n"/>
      <c r="N144" s="67" t="n"/>
      <c r="O144" s="67" t="n"/>
      <c r="P144" s="67" t="n"/>
      <c r="Q144" s="413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  <c r="AI144" s="67" t="n"/>
      <c r="AJ144" s="67" t="n"/>
      <c r="AK144" s="67" t="n"/>
      <c r="AL144" s="530" t="n"/>
      <c r="AM144" s="530" t="n"/>
      <c r="AN144" s="530" t="n"/>
    </row>
    <row r="145">
      <c r="A145" s="67" t="n"/>
      <c r="B145" s="67" t="n"/>
      <c r="C145" s="380" t="n"/>
      <c r="D145" s="67" t="n"/>
      <c r="E145" s="67" t="n"/>
      <c r="F145" s="67" t="n"/>
      <c r="G145" s="67" t="n"/>
      <c r="H145" s="67" t="n"/>
      <c r="I145" s="67" t="n"/>
      <c r="J145" s="419" t="n"/>
      <c r="K145" s="563" t="n"/>
      <c r="L145" s="67" t="n"/>
      <c r="M145" s="67" t="n"/>
      <c r="N145" s="67" t="n"/>
      <c r="O145" s="67" t="n"/>
      <c r="P145" s="67" t="n"/>
      <c r="Q145" s="413" t="n"/>
      <c r="R145" s="67" t="n"/>
      <c r="S145" s="67" t="n"/>
      <c r="T145" s="67" t="n"/>
      <c r="U145" s="67" t="n"/>
      <c r="V145" s="67" t="n"/>
      <c r="W145" s="67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  <c r="AI145" s="67" t="n"/>
      <c r="AJ145" s="67" t="n"/>
      <c r="AK145" s="67" t="n"/>
      <c r="AL145" s="530" t="n"/>
      <c r="AM145" s="530" t="n"/>
      <c r="AN145" s="530" t="n"/>
    </row>
    <row r="146">
      <c r="A146" s="67" t="n"/>
      <c r="B146" s="67" t="n"/>
      <c r="C146" s="380" t="n"/>
      <c r="D146" s="67" t="n"/>
      <c r="E146" s="67" t="n"/>
      <c r="F146" s="67" t="n"/>
      <c r="G146" s="67" t="n"/>
      <c r="H146" s="67" t="n"/>
      <c r="I146" s="67" t="n"/>
      <c r="J146" s="419" t="n"/>
      <c r="K146" s="563" t="n"/>
      <c r="L146" s="67" t="n"/>
      <c r="M146" s="67" t="n"/>
      <c r="N146" s="67" t="n"/>
      <c r="O146" s="67" t="n"/>
      <c r="P146" s="67" t="n"/>
      <c r="Q146" s="413" t="n"/>
      <c r="R146" s="67" t="n"/>
      <c r="S146" s="67" t="n"/>
      <c r="T146" s="67" t="n"/>
      <c r="U146" s="67" t="n"/>
      <c r="V146" s="67" t="n"/>
      <c r="W146" s="67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  <c r="AI146" s="67" t="n"/>
      <c r="AJ146" s="67" t="n"/>
      <c r="AK146" s="67" t="n"/>
      <c r="AL146" s="530" t="n"/>
      <c r="AM146" s="530" t="n"/>
      <c r="AN146" s="530" t="n"/>
    </row>
    <row r="147">
      <c r="A147" s="67" t="n"/>
      <c r="B147" s="67" t="n"/>
      <c r="C147" s="380" t="n"/>
      <c r="D147" s="67" t="n"/>
      <c r="E147" s="67" t="n"/>
      <c r="F147" s="67" t="n"/>
      <c r="G147" s="67" t="n"/>
      <c r="H147" s="67" t="n"/>
      <c r="I147" s="67" t="n"/>
      <c r="J147" s="419" t="n"/>
      <c r="K147" s="563" t="n"/>
      <c r="L147" s="67" t="n"/>
      <c r="M147" s="67" t="n"/>
      <c r="N147" s="67" t="n"/>
      <c r="O147" s="67" t="n"/>
      <c r="P147" s="67" t="n"/>
      <c r="Q147" s="413" t="n"/>
      <c r="R147" s="67" t="n"/>
      <c r="S147" s="67" t="n"/>
      <c r="T147" s="67" t="n"/>
      <c r="U147" s="67" t="n"/>
      <c r="V147" s="67" t="n"/>
      <c r="W147" s="67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  <c r="AI147" s="67" t="n"/>
      <c r="AJ147" s="67" t="n"/>
      <c r="AK147" s="67" t="n"/>
      <c r="AL147" s="530" t="n"/>
      <c r="AM147" s="530" t="n"/>
      <c r="AN147" s="530" t="n"/>
    </row>
    <row r="148">
      <c r="A148" s="67" t="n"/>
      <c r="B148" s="67" t="n"/>
      <c r="C148" s="380" t="n"/>
      <c r="D148" s="67" t="n"/>
      <c r="E148" s="67" t="n"/>
      <c r="F148" s="67" t="n"/>
      <c r="G148" s="67" t="n"/>
      <c r="H148" s="67" t="n"/>
      <c r="I148" s="67" t="n"/>
      <c r="J148" s="419" t="n"/>
      <c r="K148" s="563" t="n"/>
      <c r="L148" s="67" t="n"/>
      <c r="M148" s="67" t="n"/>
      <c r="N148" s="67" t="n"/>
      <c r="O148" s="67" t="n"/>
      <c r="P148" s="67" t="n"/>
      <c r="Q148" s="413" t="n"/>
      <c r="R148" s="67" t="n"/>
      <c r="S148" s="67" t="n"/>
      <c r="T148" s="67" t="n"/>
      <c r="U148" s="67" t="n"/>
      <c r="V148" s="67" t="n"/>
      <c r="W148" s="67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  <c r="AI148" s="67" t="n"/>
      <c r="AJ148" s="67" t="n"/>
      <c r="AK148" s="67" t="n"/>
      <c r="AL148" s="530" t="n"/>
      <c r="AM148" s="530" t="n"/>
      <c r="AN148" s="530" t="n"/>
    </row>
    <row r="149">
      <c r="A149" s="67" t="n"/>
      <c r="B149" s="67" t="n"/>
      <c r="C149" s="380" t="n"/>
      <c r="D149" s="67" t="n"/>
      <c r="E149" s="67" t="n"/>
      <c r="F149" s="67" t="n"/>
      <c r="G149" s="67" t="n"/>
      <c r="H149" s="67" t="n"/>
      <c r="I149" s="67" t="n"/>
      <c r="J149" s="419" t="n"/>
      <c r="K149" s="560" t="n"/>
      <c r="L149" s="67" t="n"/>
      <c r="M149" s="67" t="n"/>
      <c r="N149" s="67" t="n"/>
      <c r="O149" s="67" t="n"/>
      <c r="P149" s="67" t="n"/>
      <c r="Q149" s="413" t="n"/>
      <c r="R149" s="67" t="n"/>
      <c r="S149" s="67" t="n"/>
      <c r="T149" s="67" t="n"/>
      <c r="U149" s="67" t="n"/>
      <c r="V149" s="67" t="n"/>
      <c r="W149" s="67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  <c r="AI149" s="67" t="n"/>
      <c r="AJ149" s="67" t="n"/>
      <c r="AK149" s="67" t="n"/>
      <c r="AL149" s="530" t="n"/>
      <c r="AM149" s="530" t="n"/>
      <c r="AN149" s="530" t="n"/>
    </row>
    <row r="150">
      <c r="A150" s="67" t="n"/>
      <c r="B150" s="67" t="n"/>
      <c r="C150" s="380" t="n"/>
      <c r="D150" s="67" t="n"/>
      <c r="E150" s="67" t="n"/>
      <c r="F150" s="67" t="n"/>
      <c r="G150" s="67" t="n"/>
      <c r="H150" s="67" t="n"/>
      <c r="I150" s="67" t="n"/>
      <c r="J150" s="419" t="n"/>
      <c r="K150" s="563" t="n"/>
      <c r="L150" s="67" t="n"/>
      <c r="M150" s="67" t="n"/>
      <c r="N150" s="67" t="n"/>
      <c r="O150" s="67" t="n"/>
      <c r="P150" s="67" t="n"/>
      <c r="Q150" s="413" t="n"/>
      <c r="R150" s="67" t="n"/>
      <c r="S150" s="67" t="n"/>
      <c r="T150" s="67" t="n"/>
      <c r="U150" s="67" t="n"/>
      <c r="V150" s="67" t="n"/>
      <c r="W150" s="67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  <c r="AI150" s="67" t="n"/>
      <c r="AJ150" s="67" t="n"/>
      <c r="AK150" s="67" t="n"/>
      <c r="AL150" s="530" t="n"/>
      <c r="AM150" s="530" t="n"/>
      <c r="AN150" s="530" t="n"/>
    </row>
    <row r="151">
      <c r="A151" s="67" t="n"/>
      <c r="B151" s="67" t="n"/>
      <c r="C151" s="380" t="n"/>
      <c r="D151" s="67" t="n"/>
      <c r="E151" s="67" t="n"/>
      <c r="F151" s="67" t="n"/>
      <c r="G151" s="67" t="n"/>
      <c r="H151" s="67" t="n"/>
      <c r="I151" s="67" t="n"/>
      <c r="J151" s="419" t="n"/>
      <c r="K151" s="563" t="n"/>
      <c r="L151" s="67" t="n"/>
      <c r="M151" s="67" t="n"/>
      <c r="N151" s="67" t="n"/>
      <c r="O151" s="67" t="n"/>
      <c r="P151" s="67" t="n"/>
      <c r="Q151" s="413" t="n"/>
      <c r="R151" s="67" t="n"/>
      <c r="S151" s="67" t="n"/>
      <c r="T151" s="67" t="n"/>
      <c r="U151" s="67" t="n"/>
      <c r="V151" s="67" t="n"/>
      <c r="W151" s="67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  <c r="AI151" s="67" t="n"/>
      <c r="AJ151" s="67" t="n"/>
      <c r="AK151" s="67" t="n"/>
      <c r="AL151" s="530" t="n"/>
      <c r="AM151" s="530" t="n"/>
      <c r="AN151" s="530" t="n"/>
    </row>
    <row r="152">
      <c r="A152" s="67" t="n"/>
      <c r="B152" s="67" t="n"/>
      <c r="C152" s="380" t="n"/>
      <c r="D152" s="67" t="n"/>
      <c r="E152" s="67" t="n"/>
      <c r="F152" s="67" t="n"/>
      <c r="G152" s="67" t="n"/>
      <c r="H152" s="67" t="n"/>
      <c r="I152" s="67" t="n"/>
      <c r="J152" s="67" t="n"/>
      <c r="K152" s="563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  <c r="AI152" s="67" t="n"/>
      <c r="AJ152" s="67" t="n"/>
      <c r="AK152" s="67" t="n"/>
      <c r="AL152" s="530" t="n"/>
      <c r="AM152" s="530" t="n"/>
      <c r="AN152" s="530" t="n"/>
    </row>
    <row r="153">
      <c r="A153" s="67" t="n"/>
      <c r="B153" s="67" t="n"/>
      <c r="C153" s="380" t="n"/>
      <c r="D153" s="67" t="n"/>
      <c r="E153" s="67" t="n"/>
      <c r="F153" s="67" t="n"/>
      <c r="G153" s="67" t="n"/>
      <c r="H153" s="67" t="n"/>
      <c r="I153" s="67" t="n"/>
      <c r="J153" s="67" t="n"/>
      <c r="K153" s="563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  <c r="AI153" s="67" t="n"/>
      <c r="AJ153" s="67" t="n"/>
      <c r="AK153" s="67" t="n"/>
      <c r="AL153" s="530" t="n"/>
      <c r="AM153" s="530" t="n"/>
      <c r="AN153" s="530" t="n"/>
    </row>
    <row r="154">
      <c r="A154" s="67" t="n"/>
      <c r="B154" s="67" t="n"/>
      <c r="C154" s="380" t="n"/>
      <c r="D154" s="67" t="n"/>
      <c r="E154" s="67" t="n"/>
      <c r="F154" s="67" t="n"/>
      <c r="G154" s="67" t="n"/>
      <c r="H154" s="67" t="n"/>
      <c r="I154" s="67" t="n"/>
      <c r="J154" s="419" t="n"/>
      <c r="K154" s="560" t="n"/>
      <c r="L154" s="67" t="n"/>
      <c r="M154" s="67" t="n"/>
      <c r="N154" s="67" t="n"/>
      <c r="O154" s="67" t="n"/>
      <c r="P154" s="67" t="n"/>
      <c r="Q154" s="413" t="n"/>
      <c r="R154" s="67" t="n"/>
      <c r="S154" s="67" t="n"/>
      <c r="T154" s="67" t="n"/>
      <c r="U154" s="67" t="n"/>
      <c r="V154" s="67" t="n"/>
      <c r="W154" s="67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  <c r="AI154" s="67" t="n"/>
      <c r="AJ154" s="67" t="n"/>
      <c r="AK154" s="67" t="n"/>
      <c r="AL154" s="530" t="n"/>
      <c r="AM154" s="530" t="n"/>
      <c r="AN154" s="530" t="n"/>
    </row>
    <row r="155">
      <c r="A155" s="67" t="n"/>
      <c r="B155" s="67" t="n"/>
      <c r="C155" s="380" t="n"/>
      <c r="D155" s="67" t="n"/>
      <c r="E155" s="67" t="n"/>
      <c r="F155" s="67" t="n"/>
      <c r="G155" s="67" t="n"/>
      <c r="H155" s="67" t="n"/>
      <c r="I155" s="67" t="n"/>
      <c r="J155" s="67" t="n"/>
      <c r="K155" s="563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  <c r="AI155" s="67" t="n"/>
      <c r="AJ155" s="67" t="n"/>
      <c r="AK155" s="67" t="n"/>
      <c r="AL155" s="530" t="n"/>
      <c r="AM155" s="530" t="n"/>
      <c r="AN155" s="530" t="n"/>
    </row>
    <row r="156">
      <c r="A156" s="67" t="n"/>
      <c r="B156" s="67" t="n"/>
      <c r="C156" s="380" t="n"/>
      <c r="D156" s="67" t="n"/>
      <c r="E156" s="67" t="n"/>
      <c r="F156" s="67" t="n"/>
      <c r="G156" s="67" t="n"/>
      <c r="H156" s="67" t="n"/>
      <c r="I156" s="67" t="n"/>
      <c r="J156" s="67" t="n"/>
      <c r="K156" s="563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  <c r="AI156" s="67" t="n"/>
      <c r="AJ156" s="67" t="n"/>
      <c r="AK156" s="67" t="n"/>
      <c r="AL156" s="530" t="n"/>
      <c r="AM156" s="530" t="n"/>
      <c r="AN156" s="530" t="n"/>
    </row>
    <row r="157">
      <c r="A157" s="67" t="n"/>
      <c r="B157" s="67" t="n"/>
      <c r="C157" s="380" t="n"/>
      <c r="D157" s="67" t="n"/>
      <c r="E157" s="67" t="n"/>
      <c r="F157" s="67" t="n"/>
      <c r="G157" s="67" t="n"/>
      <c r="H157" s="67" t="n"/>
      <c r="I157" s="67" t="n"/>
      <c r="J157" s="67" t="n"/>
      <c r="K157" s="563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  <c r="AI157" s="67" t="n"/>
      <c r="AJ157" s="67" t="n"/>
      <c r="AK157" s="67" t="n"/>
      <c r="AL157" s="530" t="n"/>
      <c r="AM157" s="530" t="n"/>
      <c r="AN157" s="530" t="n"/>
    </row>
    <row r="158">
      <c r="A158" s="67" t="n"/>
      <c r="B158" s="67" t="n"/>
      <c r="C158" s="380" t="n"/>
      <c r="D158" s="67" t="n"/>
      <c r="E158" s="67" t="n"/>
      <c r="F158" s="67" t="n"/>
      <c r="G158" s="67" t="n"/>
      <c r="H158" s="67" t="n"/>
      <c r="I158" s="67" t="n"/>
      <c r="J158" s="67" t="n"/>
      <c r="K158" s="563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  <c r="AI158" s="67" t="n"/>
      <c r="AJ158" s="67" t="n"/>
      <c r="AK158" s="67" t="n"/>
      <c r="AL158" s="530" t="n"/>
      <c r="AM158" s="530" t="n"/>
      <c r="AN158" s="530" t="n"/>
    </row>
    <row r="159">
      <c r="A159" s="67" t="n"/>
      <c r="B159" s="67" t="n"/>
      <c r="C159" s="380" t="n"/>
      <c r="D159" s="67" t="n"/>
      <c r="E159" s="67" t="n"/>
      <c r="F159" s="67" t="n"/>
      <c r="G159" s="67" t="n"/>
      <c r="H159" s="67" t="n"/>
      <c r="I159" s="67" t="n"/>
      <c r="J159" s="67" t="n"/>
      <c r="K159" s="563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  <c r="AI159" s="67" t="n"/>
      <c r="AJ159" s="67" t="n"/>
      <c r="AK159" s="67" t="n"/>
      <c r="AL159" s="530" t="n"/>
      <c r="AM159" s="530" t="n"/>
      <c r="AN159" s="530" t="n"/>
    </row>
    <row r="160">
      <c r="A160" s="67" t="n"/>
      <c r="B160" s="67" t="n"/>
      <c r="C160" s="380" t="n"/>
      <c r="D160" s="67" t="n"/>
      <c r="E160" s="67" t="n"/>
      <c r="F160" s="67" t="n"/>
      <c r="G160" s="67" t="n"/>
      <c r="H160" s="67" t="n"/>
      <c r="I160" s="67" t="n"/>
      <c r="J160" s="67" t="n"/>
      <c r="K160" s="563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  <c r="AI160" s="67" t="n"/>
      <c r="AJ160" s="67" t="n"/>
      <c r="AK160" s="67" t="n"/>
      <c r="AL160" s="530" t="n"/>
      <c r="AM160" s="530" t="n"/>
      <c r="AN160" s="530" t="n"/>
    </row>
    <row r="161">
      <c r="A161" s="67" t="n"/>
      <c r="B161" s="67" t="n"/>
      <c r="C161" s="380" t="n"/>
      <c r="D161" s="67" t="n"/>
      <c r="E161" s="67" t="n"/>
      <c r="F161" s="67" t="n"/>
      <c r="G161" s="67" t="n"/>
      <c r="H161" s="67" t="n"/>
      <c r="I161" s="67" t="n"/>
      <c r="J161" s="67" t="n"/>
      <c r="K161" s="563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  <c r="AI161" s="67" t="n"/>
      <c r="AJ161" s="67" t="n"/>
      <c r="AK161" s="67" t="n"/>
      <c r="AL161" s="530" t="n"/>
      <c r="AM161" s="530" t="n"/>
      <c r="AN161" s="530" t="n"/>
    </row>
    <row r="162">
      <c r="A162" s="67" t="n"/>
      <c r="B162" s="67" t="n"/>
      <c r="C162" s="380" t="n"/>
      <c r="D162" s="67" t="n"/>
      <c r="E162" s="67" t="n"/>
      <c r="F162" s="67" t="n"/>
      <c r="G162" s="67" t="n"/>
      <c r="H162" s="67" t="n"/>
      <c r="I162" s="67" t="n"/>
      <c r="J162" s="67" t="n"/>
      <c r="K162" s="563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  <c r="AI162" s="67" t="n"/>
      <c r="AJ162" s="67" t="n"/>
      <c r="AK162" s="67" t="n"/>
      <c r="AL162" s="530" t="n"/>
      <c r="AM162" s="530" t="n"/>
      <c r="AN162" s="530" t="n"/>
    </row>
    <row r="163">
      <c r="A163" s="67" t="n"/>
      <c r="B163" s="67" t="n"/>
      <c r="C163" s="380" t="n"/>
      <c r="D163" s="67" t="n"/>
      <c r="E163" s="67" t="n"/>
      <c r="F163" s="67" t="n"/>
      <c r="G163" s="67" t="n"/>
      <c r="H163" s="67" t="n"/>
      <c r="I163" s="67" t="n"/>
      <c r="J163" s="67" t="n"/>
      <c r="K163" s="563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  <c r="AI163" s="67" t="n"/>
      <c r="AJ163" s="67" t="n"/>
      <c r="AK163" s="67" t="n"/>
      <c r="AL163" s="530" t="n"/>
      <c r="AM163" s="530" t="n"/>
      <c r="AN163" s="530" t="n"/>
    </row>
    <row r="164">
      <c r="A164" s="67" t="n"/>
      <c r="B164" s="67" t="n"/>
      <c r="C164" s="380" t="n"/>
      <c r="D164" s="67" t="n"/>
      <c r="E164" s="67" t="n"/>
      <c r="F164" s="67" t="n"/>
      <c r="G164" s="67" t="n"/>
      <c r="H164" s="67" t="n"/>
      <c r="I164" s="67" t="n"/>
      <c r="J164" s="67" t="n"/>
      <c r="K164" s="563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  <c r="AI164" s="67" t="n"/>
      <c r="AJ164" s="67" t="n"/>
      <c r="AK164" s="67" t="n"/>
      <c r="AL164" s="530" t="n"/>
      <c r="AM164" s="530" t="n"/>
      <c r="AN164" s="530" t="n"/>
    </row>
    <row r="165">
      <c r="A165" s="67" t="n"/>
      <c r="B165" s="67" t="n"/>
      <c r="C165" s="380" t="n"/>
      <c r="D165" s="67" t="n"/>
      <c r="E165" s="67" t="n"/>
      <c r="F165" s="67" t="n"/>
      <c r="G165" s="67" t="n"/>
      <c r="H165" s="67" t="n"/>
      <c r="I165" s="67" t="n"/>
      <c r="J165" s="67" t="n"/>
      <c r="K165" s="563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  <c r="AI165" s="67" t="n"/>
      <c r="AJ165" s="67" t="n"/>
      <c r="AK165" s="67" t="n"/>
      <c r="AL165" s="530" t="n"/>
      <c r="AM165" s="530" t="n"/>
      <c r="AN165" s="530" t="n"/>
    </row>
    <row r="166">
      <c r="A166" s="67" t="n"/>
      <c r="B166" s="67" t="n"/>
      <c r="C166" s="380" t="n"/>
      <c r="D166" s="67" t="n"/>
      <c r="E166" s="67" t="n"/>
      <c r="F166" s="67" t="n"/>
      <c r="G166" s="67" t="n"/>
      <c r="H166" s="67" t="n"/>
      <c r="I166" s="67" t="n"/>
      <c r="J166" s="419" t="n"/>
      <c r="K166" s="563" t="n"/>
      <c r="L166" s="67" t="n"/>
      <c r="M166" s="67" t="n"/>
      <c r="N166" s="67" t="n"/>
      <c r="O166" s="67" t="n"/>
      <c r="P166" s="67" t="n"/>
      <c r="Q166" s="413" t="n"/>
      <c r="R166" s="67" t="n"/>
      <c r="S166" s="67" t="n"/>
      <c r="T166" s="67" t="n"/>
      <c r="U166" s="67" t="n"/>
      <c r="V166" s="67" t="n"/>
      <c r="W166" s="67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  <c r="AI166" s="67" t="n"/>
      <c r="AJ166" s="67" t="n"/>
      <c r="AK166" s="67" t="n"/>
      <c r="AL166" s="530" t="n"/>
      <c r="AM166" s="530" t="n"/>
      <c r="AN166" s="530" t="n"/>
    </row>
    <row r="167">
      <c r="A167" s="67" t="n"/>
      <c r="B167" s="67" t="n"/>
      <c r="C167" s="380" t="n"/>
      <c r="D167" s="67" t="n"/>
      <c r="E167" s="67" t="n"/>
      <c r="F167" s="67" t="n"/>
      <c r="G167" s="67" t="n"/>
      <c r="H167" s="67" t="n"/>
      <c r="I167" s="67" t="n"/>
      <c r="J167" s="419" t="n"/>
      <c r="K167" s="560" t="n"/>
      <c r="L167" s="67" t="n"/>
      <c r="M167" s="67" t="n"/>
      <c r="N167" s="67" t="n"/>
      <c r="O167" s="67" t="n"/>
      <c r="P167" s="67" t="n"/>
      <c r="Q167" s="413" t="n"/>
      <c r="R167" s="67" t="n"/>
      <c r="S167" s="67" t="n"/>
      <c r="T167" s="67" t="n"/>
      <c r="U167" s="471" t="n"/>
      <c r="V167" s="67" t="n"/>
      <c r="W167" s="67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  <c r="AI167" s="67" t="n"/>
      <c r="AJ167" s="67" t="n"/>
      <c r="AK167" s="67" t="n"/>
      <c r="AL167" s="530" t="n"/>
      <c r="AM167" s="530" t="n"/>
      <c r="AN167" s="530" t="n"/>
    </row>
    <row r="168">
      <c r="A168" s="67" t="n"/>
      <c r="B168" s="67" t="n"/>
      <c r="C168" s="380" t="n"/>
      <c r="D168" s="67" t="n"/>
      <c r="E168" s="67" t="n"/>
      <c r="F168" s="67" t="n"/>
      <c r="G168" s="67" t="n"/>
      <c r="H168" s="67" t="n"/>
      <c r="I168" s="67" t="n"/>
      <c r="J168" s="419" t="n"/>
      <c r="K168" s="563" t="n"/>
      <c r="L168" s="67" t="n"/>
      <c r="M168" s="67" t="n"/>
      <c r="N168" s="67" t="n"/>
      <c r="O168" s="67" t="n"/>
      <c r="P168" s="67" t="n"/>
      <c r="Q168" s="413" t="n"/>
      <c r="R168" s="67" t="n"/>
      <c r="S168" s="67" t="n"/>
      <c r="T168" s="67" t="n"/>
      <c r="U168" s="471" t="n"/>
      <c r="V168" s="67" t="n"/>
      <c r="W168" s="557" t="n"/>
      <c r="X168" s="557" t="n"/>
      <c r="Y168" s="557" t="n"/>
      <c r="Z168" s="557" t="n"/>
      <c r="AA168" s="557" t="n"/>
      <c r="AB168" s="557" t="n"/>
      <c r="AC168" s="557" t="n"/>
      <c r="AD168" s="557" t="n"/>
      <c r="AE168" s="557" t="n"/>
      <c r="AF168" s="557" t="n"/>
      <c r="AG168" s="557" t="n"/>
      <c r="AH168" s="557" t="n"/>
      <c r="AI168" s="557" t="n"/>
      <c r="AJ168" s="557" t="n"/>
      <c r="AK168" s="557" t="n"/>
      <c r="AL168" s="561" t="n"/>
      <c r="AM168" s="561" t="n"/>
      <c r="AN168" s="561" t="n"/>
    </row>
    <row r="169">
      <c r="A169" s="67" t="n"/>
      <c r="B169" s="67" t="n"/>
      <c r="C169" s="380" t="n"/>
      <c r="D169" s="67" t="n"/>
      <c r="E169" s="67" t="n"/>
      <c r="F169" s="67" t="n"/>
      <c r="G169" s="67" t="n"/>
      <c r="H169" s="67" t="n"/>
      <c r="I169" s="67" t="n"/>
      <c r="J169" s="419" t="n"/>
      <c r="K169" s="563" t="n"/>
      <c r="L169" s="67" t="n"/>
      <c r="M169" s="67" t="n"/>
      <c r="N169" s="67" t="n"/>
      <c r="O169" s="67" t="n"/>
      <c r="P169" s="67" t="n"/>
      <c r="Q169" s="413" t="n"/>
      <c r="R169" s="67" t="n"/>
      <c r="S169" s="67" t="n"/>
      <c r="T169" s="67" t="n"/>
      <c r="U169" s="471" t="n"/>
      <c r="V169" s="67" t="n"/>
      <c r="W169" s="557" t="n"/>
      <c r="X169" s="557" t="n"/>
      <c r="Y169" s="557" t="n"/>
      <c r="Z169" s="557" t="n"/>
      <c r="AA169" s="557" t="n"/>
      <c r="AB169" s="557" t="n"/>
      <c r="AC169" s="557" t="n"/>
      <c r="AD169" s="557" t="n"/>
      <c r="AE169" s="557" t="n"/>
      <c r="AF169" s="557" t="n"/>
      <c r="AG169" s="557" t="n"/>
      <c r="AH169" s="557" t="n"/>
      <c r="AI169" s="557" t="n"/>
      <c r="AJ169" s="557" t="n"/>
      <c r="AK169" s="557" t="n"/>
      <c r="AL169" s="561" t="n"/>
      <c r="AM169" s="561" t="n"/>
      <c r="AN169" s="561" t="n"/>
    </row>
    <row r="170">
      <c r="A170" s="67" t="n"/>
      <c r="B170" s="67" t="n"/>
      <c r="C170" s="380" t="n"/>
      <c r="D170" s="67" t="n"/>
      <c r="E170" s="67" t="n"/>
      <c r="F170" s="67" t="n"/>
      <c r="G170" s="67" t="n"/>
      <c r="H170" s="67" t="n"/>
      <c r="I170" s="67" t="n"/>
      <c r="J170" s="419" t="n"/>
      <c r="K170" s="563" t="n"/>
      <c r="L170" s="67" t="n"/>
      <c r="M170" s="67" t="n"/>
      <c r="N170" s="67" t="n"/>
      <c r="O170" s="67" t="n"/>
      <c r="P170" s="67" t="n"/>
      <c r="Q170" s="413" t="n"/>
      <c r="R170" s="67" t="n"/>
      <c r="S170" s="67" t="n"/>
      <c r="T170" s="67" t="n"/>
      <c r="U170" s="471" t="n"/>
      <c r="V170" s="67" t="n"/>
      <c r="W170" s="413" t="n"/>
      <c r="X170" s="413" t="n"/>
      <c r="Y170" s="413" t="n"/>
      <c r="Z170" s="413" t="n"/>
      <c r="AA170" s="413" t="n"/>
      <c r="AB170" s="413" t="n"/>
      <c r="AC170" s="413" t="n"/>
      <c r="AD170" s="413" t="n"/>
      <c r="AE170" s="413" t="n"/>
      <c r="AF170" s="413" t="n"/>
      <c r="AG170" s="413" t="n"/>
      <c r="AH170" s="413" t="n"/>
      <c r="AI170" s="413" t="n"/>
      <c r="AJ170" s="413" t="n"/>
      <c r="AK170" s="413" t="n"/>
      <c r="AL170" s="562" t="n"/>
      <c r="AM170" s="562" t="n"/>
      <c r="AN170" s="562" t="n"/>
    </row>
    <row r="171">
      <c r="A171" s="67" t="n"/>
      <c r="B171" s="67" t="n"/>
      <c r="C171" s="380" t="n"/>
      <c r="D171" s="67" t="n"/>
      <c r="E171" s="67" t="n"/>
      <c r="F171" s="67" t="n"/>
      <c r="G171" s="67" t="n"/>
      <c r="H171" s="67" t="n"/>
      <c r="I171" s="67" t="n"/>
      <c r="J171" s="419" t="n"/>
      <c r="K171" s="563" t="n"/>
      <c r="L171" s="67" t="n"/>
      <c r="M171" s="67" t="n"/>
      <c r="N171" s="67" t="n"/>
      <c r="O171" s="67" t="n"/>
      <c r="P171" s="67" t="n"/>
      <c r="Q171" s="413" t="n"/>
      <c r="R171" s="67" t="n"/>
      <c r="S171" s="67" t="n"/>
      <c r="T171" s="67" t="n"/>
      <c r="U171" s="471" t="n"/>
      <c r="V171" s="67" t="n"/>
      <c r="W171" s="557" t="n"/>
      <c r="X171" s="557" t="n"/>
      <c r="Y171" s="557" t="n"/>
      <c r="Z171" s="557" t="n"/>
      <c r="AA171" s="557" t="n"/>
      <c r="AB171" s="557" t="n"/>
      <c r="AC171" s="557" t="n"/>
      <c r="AD171" s="557" t="n"/>
      <c r="AE171" s="557" t="n"/>
      <c r="AF171" s="557" t="n"/>
      <c r="AG171" s="557" t="n"/>
      <c r="AH171" s="557" t="n"/>
      <c r="AI171" s="557" t="n"/>
      <c r="AJ171" s="557" t="n"/>
      <c r="AK171" s="557" t="n"/>
      <c r="AL171" s="561" t="n"/>
      <c r="AM171" s="561" t="n"/>
      <c r="AN171" s="561" t="n"/>
    </row>
    <row r="172">
      <c r="A172" s="67" t="n"/>
      <c r="B172" s="67" t="n"/>
      <c r="C172" s="380" t="n"/>
      <c r="D172" s="67" t="n"/>
      <c r="E172" s="67" t="n"/>
      <c r="F172" s="67" t="n"/>
      <c r="G172" s="67" t="n"/>
      <c r="H172" s="67" t="n"/>
      <c r="I172" s="67" t="n"/>
      <c r="J172" s="419" t="n"/>
      <c r="K172" s="560" t="n"/>
      <c r="L172" s="67" t="n"/>
      <c r="M172" s="67" t="n"/>
      <c r="N172" s="67" t="n"/>
      <c r="O172" s="67" t="n"/>
      <c r="P172" s="67" t="n"/>
      <c r="Q172" s="413" t="n"/>
      <c r="R172" s="67" t="n"/>
      <c r="S172" s="67" t="n"/>
      <c r="T172" s="67" t="n"/>
      <c r="U172" s="471" t="n"/>
      <c r="V172" s="67" t="n"/>
      <c r="W172" s="557" t="n"/>
      <c r="X172" s="55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  <c r="AI172" s="557" t="n"/>
      <c r="AJ172" s="557" t="n"/>
      <c r="AK172" s="557" t="n"/>
      <c r="AL172" s="561" t="n"/>
      <c r="AM172" s="561" t="n"/>
      <c r="AN172" s="561" t="n"/>
    </row>
    <row r="173">
      <c r="A173" s="421" t="n"/>
      <c r="B173" s="421" t="n"/>
      <c r="C173" s="453" t="n"/>
      <c r="D173" s="421" t="n"/>
      <c r="E173" s="421" t="n"/>
      <c r="F173" s="421" t="n"/>
      <c r="G173" s="421" t="n"/>
      <c r="H173" s="421" t="n"/>
      <c r="I173" s="421" t="n"/>
      <c r="J173" s="419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87" t="n"/>
      <c r="V173" s="421" t="n"/>
      <c r="W173" s="456" t="n"/>
      <c r="X173" s="456" t="n"/>
      <c r="Y173" s="456" t="n"/>
      <c r="Z173" s="456" t="n"/>
      <c r="AA173" s="456" t="n"/>
      <c r="AB173" s="456" t="n"/>
      <c r="AC173" s="456" t="n"/>
      <c r="AD173" s="456" t="n"/>
      <c r="AE173" s="456" t="n"/>
      <c r="AF173" s="456" t="n"/>
      <c r="AG173" s="456" t="n"/>
      <c r="AH173" s="456" t="n"/>
      <c r="AI173" s="456" t="n"/>
      <c r="AJ173" s="456" t="n"/>
      <c r="AK173" s="456" t="n"/>
      <c r="AL173" s="543" t="n"/>
      <c r="AM173" s="543" t="n"/>
      <c r="AN173" s="543" t="n"/>
    </row>
    <row r="174">
      <c r="A174" s="421" t="n"/>
      <c r="B174" s="421" t="n"/>
      <c r="C174" s="453" t="n"/>
      <c r="D174" s="421" t="n"/>
      <c r="E174" s="421" t="n"/>
      <c r="F174" s="421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21" t="n"/>
      <c r="R174" s="421" t="n"/>
      <c r="S174" s="421" t="n"/>
      <c r="T174" s="421" t="n"/>
      <c r="U174" s="421" t="n"/>
      <c r="V174" s="421" t="n"/>
      <c r="W174" s="421" t="n"/>
      <c r="X174" s="421" t="n"/>
      <c r="Y174" s="421" t="n"/>
      <c r="Z174" s="421" t="n"/>
      <c r="AA174" s="421" t="n"/>
      <c r="AB174" s="421" t="n"/>
      <c r="AC174" s="421" t="n"/>
      <c r="AD174" s="421" t="n"/>
      <c r="AE174" s="421" t="n"/>
      <c r="AF174" s="421" t="n"/>
      <c r="AG174" s="421" t="n"/>
      <c r="AH174" s="421" t="n"/>
      <c r="AI174" s="421" t="n"/>
      <c r="AJ174" s="421" t="n"/>
      <c r="AK174" s="421" t="n"/>
      <c r="AL174" s="452" t="n"/>
      <c r="AM174" s="452" t="n"/>
      <c r="AN174" s="452" t="n"/>
    </row>
    <row r="175">
      <c r="A175" s="421" t="n"/>
      <c r="B175" s="421" t="n"/>
      <c r="C175" s="453" t="n"/>
      <c r="D175" s="421" t="n"/>
      <c r="E175" s="421" t="n"/>
      <c r="F175" s="421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21" t="n"/>
      <c r="R175" s="421" t="n"/>
      <c r="S175" s="421" t="n"/>
      <c r="T175" s="421" t="n"/>
      <c r="U175" s="421" t="n"/>
      <c r="V175" s="421" t="n"/>
      <c r="W175" s="421" t="n"/>
      <c r="X175" s="421" t="n"/>
      <c r="Y175" s="421" t="n"/>
      <c r="Z175" s="421" t="n"/>
      <c r="AA175" s="421" t="n"/>
      <c r="AB175" s="421" t="n"/>
      <c r="AC175" s="421" t="n"/>
      <c r="AD175" s="421" t="n"/>
      <c r="AE175" s="421" t="n"/>
      <c r="AF175" s="421" t="n"/>
      <c r="AG175" s="421" t="n"/>
      <c r="AH175" s="421" t="n"/>
      <c r="AI175" s="421" t="n"/>
      <c r="AJ175" s="421" t="n"/>
      <c r="AK175" s="421" t="n"/>
      <c r="AL175" s="452" t="n"/>
      <c r="AM175" s="452" t="n"/>
      <c r="AN175" s="452" t="n"/>
    </row>
    <row r="176">
      <c r="A176" s="421" t="n"/>
      <c r="B176" s="421" t="n"/>
      <c r="C176" s="453" t="n"/>
      <c r="D176" s="421" t="n"/>
      <c r="E176" s="421" t="n"/>
      <c r="F176" s="421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21" t="n"/>
      <c r="R176" s="421" t="n"/>
      <c r="S176" s="421" t="n"/>
      <c r="T176" s="421" t="n"/>
      <c r="U176" s="421" t="n"/>
      <c r="V176" s="421" t="n"/>
      <c r="W176" s="421" t="n"/>
      <c r="X176" s="421" t="n"/>
      <c r="Y176" s="421" t="n"/>
      <c r="Z176" s="421" t="n"/>
      <c r="AA176" s="421" t="n"/>
      <c r="AB176" s="421" t="n"/>
      <c r="AC176" s="421" t="n"/>
      <c r="AD176" s="421" t="n"/>
      <c r="AE176" s="421" t="n"/>
      <c r="AF176" s="421" t="n"/>
      <c r="AG176" s="421" t="n"/>
      <c r="AH176" s="421" t="n"/>
      <c r="AI176" s="421" t="n"/>
      <c r="AJ176" s="421" t="n"/>
      <c r="AK176" s="421" t="n"/>
      <c r="AL176" s="452" t="n"/>
      <c r="AM176" s="452" t="n"/>
      <c r="AN176" s="452" t="n"/>
    </row>
    <row r="177">
      <c r="A177" s="421" t="n"/>
      <c r="B177" s="421" t="n"/>
      <c r="C177" s="453" t="n"/>
      <c r="D177" s="421" t="n"/>
      <c r="E177" s="421" t="n"/>
      <c r="F177" s="421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21" t="n"/>
      <c r="R177" s="421" t="n"/>
      <c r="S177" s="421" t="n"/>
      <c r="T177" s="421" t="n"/>
      <c r="U177" s="421" t="n"/>
      <c r="V177" s="421" t="n"/>
      <c r="W177" s="421" t="n"/>
      <c r="X177" s="421" t="n"/>
      <c r="Y177" s="421" t="n"/>
      <c r="Z177" s="421" t="n"/>
      <c r="AA177" s="421" t="n"/>
      <c r="AB177" s="421" t="n"/>
      <c r="AC177" s="421" t="n"/>
      <c r="AD177" s="421" t="n"/>
      <c r="AE177" s="421" t="n"/>
      <c r="AF177" s="421" t="n"/>
      <c r="AG177" s="421" t="n"/>
      <c r="AH177" s="421" t="n"/>
      <c r="AI177" s="421" t="n"/>
      <c r="AJ177" s="421" t="n"/>
      <c r="AK177" s="421" t="n"/>
      <c r="AL177" s="452" t="n"/>
      <c r="AM177" s="452" t="n"/>
      <c r="AN177" s="452" t="n"/>
    </row>
    <row r="178">
      <c r="A178" s="421" t="n"/>
      <c r="B178" s="421" t="n"/>
      <c r="C178" s="453" t="n"/>
      <c r="D178" s="421" t="n"/>
      <c r="E178" s="421" t="n"/>
      <c r="F178" s="421" t="n"/>
      <c r="G178" s="421" t="n"/>
      <c r="H178" s="421" t="n"/>
      <c r="I178" s="421" t="n"/>
      <c r="J178" s="421" t="n"/>
      <c r="K178" s="536" t="n"/>
      <c r="L178" s="421" t="n"/>
      <c r="M178" s="421" t="n"/>
      <c r="N178" s="421" t="n"/>
      <c r="O178" s="421" t="n"/>
      <c r="P178" s="421" t="n"/>
      <c r="Q178" s="421" t="n"/>
      <c r="R178" s="421" t="n"/>
      <c r="S178" s="421" t="n"/>
      <c r="T178" s="421" t="n"/>
      <c r="U178" s="421" t="n"/>
      <c r="V178" s="421" t="n"/>
      <c r="W178" s="421" t="n"/>
      <c r="X178" s="421" t="n"/>
      <c r="Y178" s="421" t="n"/>
      <c r="Z178" s="421" t="n"/>
      <c r="AA178" s="421" t="n"/>
      <c r="AB178" s="421" t="n"/>
      <c r="AC178" s="421" t="n"/>
      <c r="AD178" s="421" t="n"/>
      <c r="AE178" s="421" t="n"/>
      <c r="AF178" s="421" t="n"/>
      <c r="AG178" s="421" t="n"/>
      <c r="AH178" s="421" t="n"/>
      <c r="AI178" s="421" t="n"/>
      <c r="AJ178" s="421" t="n"/>
      <c r="AK178" s="421" t="n"/>
      <c r="AL178" s="452" t="n"/>
      <c r="AM178" s="452" t="n"/>
      <c r="AN178" s="452" t="n"/>
    </row>
    <row r="179">
      <c r="A179" s="421" t="n"/>
      <c r="B179" s="421" t="n"/>
      <c r="C179" s="453" t="n"/>
      <c r="D179" s="421" t="n"/>
      <c r="E179" s="421" t="n"/>
      <c r="F179" s="421" t="n"/>
      <c r="G179" s="421" t="n"/>
      <c r="H179" s="421" t="n"/>
      <c r="I179" s="421" t="n"/>
      <c r="J179" s="419" t="n"/>
      <c r="K179" s="454" t="n"/>
      <c r="L179" s="421" t="n"/>
      <c r="M179" s="421" t="n"/>
      <c r="N179" s="421" t="n"/>
      <c r="O179" s="421" t="n"/>
      <c r="P179" s="421" t="n"/>
      <c r="Q179" s="456" t="n"/>
      <c r="R179" s="421" t="n"/>
      <c r="S179" s="421" t="n"/>
      <c r="T179" s="421" t="n"/>
      <c r="U179" s="487" t="n"/>
      <c r="V179" s="421" t="n"/>
      <c r="W179" s="421" t="n"/>
      <c r="X179" s="421" t="n"/>
      <c r="Y179" s="421" t="n"/>
      <c r="Z179" s="421" t="n"/>
      <c r="AA179" s="421" t="n"/>
      <c r="AB179" s="421" t="n"/>
      <c r="AC179" s="421" t="n"/>
      <c r="AD179" s="421" t="n"/>
      <c r="AE179" s="421" t="n"/>
      <c r="AF179" s="421" t="n"/>
      <c r="AG179" s="421" t="n"/>
      <c r="AH179" s="421" t="n"/>
      <c r="AI179" s="421" t="n"/>
      <c r="AJ179" s="421" t="n"/>
      <c r="AK179" s="421" t="n"/>
      <c r="AL179" s="452" t="n"/>
      <c r="AM179" s="452" t="n"/>
      <c r="AN179" s="452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419" t="n"/>
      <c r="K180" s="454" t="n"/>
      <c r="L180" s="421" t="n"/>
      <c r="M180" s="421" t="n"/>
      <c r="N180" s="421" t="n"/>
      <c r="O180" s="421" t="n"/>
      <c r="P180" s="421" t="n"/>
      <c r="Q180" s="456" t="n"/>
      <c r="R180" s="421" t="n"/>
      <c r="S180" s="421" t="n"/>
      <c r="T180" s="421" t="n"/>
      <c r="U180" s="487" t="n"/>
      <c r="V180" s="421" t="n"/>
      <c r="W180" s="515" t="n"/>
      <c r="X180" s="515" t="n"/>
      <c r="Y180" s="515" t="n"/>
      <c r="Z180" s="515" t="n"/>
      <c r="AA180" s="515" t="n"/>
      <c r="AB180" s="515" t="n"/>
      <c r="AC180" s="515" t="n"/>
      <c r="AD180" s="515" t="n"/>
      <c r="AE180" s="515" t="n"/>
      <c r="AF180" s="515" t="n"/>
      <c r="AG180" s="515" t="n"/>
      <c r="AH180" s="515" t="n"/>
      <c r="AI180" s="515" t="n"/>
      <c r="AJ180" s="515" t="n"/>
      <c r="AK180" s="515" t="n"/>
      <c r="AL180" s="459" t="n"/>
      <c r="AM180" s="459" t="n"/>
      <c r="AN180" s="459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419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  <c r="Y181" s="515" t="n"/>
      <c r="Z181" s="515" t="n"/>
      <c r="AA181" s="515" t="n"/>
      <c r="AB181" s="515" t="n"/>
      <c r="AC181" s="515" t="n"/>
      <c r="AD181" s="515" t="n"/>
      <c r="AE181" s="515" t="n"/>
      <c r="AF181" s="515" t="n"/>
      <c r="AG181" s="515" t="n"/>
      <c r="AH181" s="515" t="n"/>
      <c r="AI181" s="515" t="n"/>
      <c r="AJ181" s="515" t="n"/>
      <c r="AK181" s="515" t="n"/>
      <c r="AL181" s="459" t="n"/>
      <c r="AM181" s="459" t="n"/>
      <c r="AN181" s="459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419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421" t="n"/>
      <c r="X182" s="421" t="n"/>
      <c r="Y182" s="421" t="n"/>
      <c r="Z182" s="421" t="n"/>
      <c r="AA182" s="421" t="n"/>
      <c r="AB182" s="421" t="n"/>
      <c r="AC182" s="421" t="n"/>
      <c r="AD182" s="421" t="n"/>
      <c r="AE182" s="421" t="n"/>
      <c r="AF182" s="421" t="n"/>
      <c r="AG182" s="421" t="n"/>
      <c r="AH182" s="421" t="n"/>
      <c r="AI182" s="421" t="n"/>
      <c r="AJ182" s="421" t="n"/>
      <c r="AK182" s="421" t="n"/>
      <c r="AL182" s="452" t="n"/>
      <c r="AM182" s="452" t="n"/>
      <c r="AN182" s="452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419" t="n"/>
      <c r="K183" s="536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  <c r="Y183" s="421" t="n"/>
      <c r="Z183" s="421" t="n"/>
      <c r="AA183" s="421" t="n"/>
      <c r="AB183" s="421" t="n"/>
      <c r="AC183" s="421" t="n"/>
      <c r="AD183" s="421" t="n"/>
      <c r="AE183" s="421" t="n"/>
      <c r="AF183" s="421" t="n"/>
      <c r="AG183" s="421" t="n"/>
      <c r="AH183" s="421" t="n"/>
      <c r="AI183" s="421" t="n"/>
      <c r="AJ183" s="421" t="n"/>
      <c r="AK183" s="421" t="n"/>
      <c r="AL183" s="452" t="n"/>
      <c r="AM183" s="452" t="n"/>
      <c r="AN183" s="452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419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517" t="n"/>
      <c r="X184" s="517" t="n"/>
      <c r="Y184" s="517" t="n"/>
      <c r="Z184" s="517" t="n"/>
      <c r="AA184" s="517" t="n"/>
      <c r="AB184" s="517" t="n"/>
      <c r="AC184" s="517" t="n"/>
      <c r="AD184" s="517" t="n"/>
      <c r="AE184" s="517" t="n"/>
      <c r="AF184" s="517" t="n"/>
      <c r="AG184" s="517" t="n"/>
      <c r="AH184" s="517" t="n"/>
      <c r="AI184" s="517" t="n"/>
      <c r="AJ184" s="517" t="n"/>
      <c r="AK184" s="517" t="n"/>
      <c r="AL184" s="461" t="n"/>
      <c r="AM184" s="461" t="n"/>
      <c r="AN184" s="46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419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5" t="n"/>
      <c r="X185" s="515" t="n"/>
      <c r="Y185" s="515" t="n"/>
      <c r="Z185" s="515" t="n"/>
      <c r="AA185" s="515" t="n"/>
      <c r="AB185" s="515" t="n"/>
      <c r="AC185" s="515" t="n"/>
      <c r="AD185" s="515" t="n"/>
      <c r="AE185" s="515" t="n"/>
      <c r="AF185" s="515" t="n"/>
      <c r="AG185" s="515" t="n"/>
      <c r="AH185" s="515" t="n"/>
      <c r="AI185" s="515" t="n"/>
      <c r="AJ185" s="515" t="n"/>
      <c r="AK185" s="515" t="n"/>
      <c r="AL185" s="459" t="n"/>
      <c r="AM185" s="459" t="n"/>
      <c r="AN185" s="459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419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  <c r="Y186" s="515" t="n"/>
      <c r="Z186" s="515" t="n"/>
      <c r="AA186" s="515" t="n"/>
      <c r="AB186" s="515" t="n"/>
      <c r="AC186" s="515" t="n"/>
      <c r="AD186" s="515" t="n"/>
      <c r="AE186" s="515" t="n"/>
      <c r="AF186" s="515" t="n"/>
      <c r="AG186" s="515" t="n"/>
      <c r="AH186" s="515" t="n"/>
      <c r="AI186" s="515" t="n"/>
      <c r="AJ186" s="515" t="n"/>
      <c r="AK186" s="515" t="n"/>
      <c r="AL186" s="459" t="n"/>
      <c r="AM186" s="459" t="n"/>
      <c r="AN186" s="459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419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421" t="n"/>
      <c r="X187" s="421" t="n"/>
      <c r="Y187" s="421" t="n"/>
      <c r="Z187" s="421" t="n"/>
      <c r="AA187" s="421" t="n"/>
      <c r="AB187" s="421" t="n"/>
      <c r="AC187" s="421" t="n"/>
      <c r="AD187" s="421" t="n"/>
      <c r="AE187" s="421" t="n"/>
      <c r="AF187" s="421" t="n"/>
      <c r="AG187" s="421" t="n"/>
      <c r="AH187" s="421" t="n"/>
      <c r="AI187" s="421" t="n"/>
      <c r="AJ187" s="421" t="n"/>
      <c r="AK187" s="421" t="n"/>
      <c r="AL187" s="452" t="n"/>
      <c r="AM187" s="452" t="n"/>
      <c r="AN187" s="452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419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  <c r="Y188" s="421" t="n"/>
      <c r="Z188" s="421" t="n"/>
      <c r="AA188" s="421" t="n"/>
      <c r="AB188" s="421" t="n"/>
      <c r="AC188" s="421" t="n"/>
      <c r="AD188" s="421" t="n"/>
      <c r="AE188" s="421" t="n"/>
      <c r="AF188" s="421" t="n"/>
      <c r="AG188" s="421" t="n"/>
      <c r="AH188" s="421" t="n"/>
      <c r="AI188" s="421" t="n"/>
      <c r="AJ188" s="421" t="n"/>
      <c r="AK188" s="421" t="n"/>
      <c r="AL188" s="452" t="n"/>
      <c r="AM188" s="452" t="n"/>
      <c r="AN188" s="452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419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52" t="n"/>
      <c r="AM189" s="452" t="n"/>
      <c r="AN189" s="452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421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21" t="n"/>
      <c r="V190" s="421" t="n"/>
      <c r="W190" s="421" t="n"/>
      <c r="X190" s="421" t="n"/>
      <c r="Y190" s="421" t="n"/>
      <c r="Z190" s="421" t="n"/>
      <c r="AA190" s="421" t="n"/>
      <c r="AB190" s="421" t="n"/>
      <c r="AC190" s="421" t="n"/>
      <c r="AD190" s="421" t="n"/>
      <c r="AE190" s="421" t="n"/>
      <c r="AF190" s="421" t="n"/>
      <c r="AG190" s="421" t="n"/>
      <c r="AH190" s="421" t="n"/>
      <c r="AI190" s="421" t="n"/>
      <c r="AJ190" s="421" t="n"/>
      <c r="AK190" s="421" t="n"/>
      <c r="AL190" s="452" t="n"/>
      <c r="AM190" s="452" t="n"/>
      <c r="AN190" s="452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87" t="n"/>
      <c r="V191" s="421" t="n"/>
      <c r="W191" s="421" t="n"/>
      <c r="X191" s="421" t="n"/>
      <c r="Y191" s="421" t="n"/>
      <c r="Z191" s="421" t="n"/>
      <c r="AA191" s="421" t="n"/>
      <c r="AB191" s="421" t="n"/>
      <c r="AC191" s="421" t="n"/>
      <c r="AD191" s="421" t="n"/>
      <c r="AE191" s="421" t="n"/>
      <c r="AF191" s="421" t="n"/>
      <c r="AG191" s="421" t="n"/>
      <c r="AH191" s="421" t="n"/>
      <c r="AI191" s="421" t="n"/>
      <c r="AJ191" s="421" t="n"/>
      <c r="AK191" s="421" t="n"/>
      <c r="AL191" s="452" t="n"/>
      <c r="AM191" s="452" t="n"/>
      <c r="AN191" s="452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  <c r="Y192" s="421" t="n"/>
      <c r="Z192" s="421" t="n"/>
      <c r="AA192" s="421" t="n"/>
      <c r="AB192" s="421" t="n"/>
      <c r="AC192" s="421" t="n"/>
      <c r="AD192" s="421" t="n"/>
      <c r="AE192" s="421" t="n"/>
      <c r="AF192" s="421" t="n"/>
      <c r="AG192" s="421" t="n"/>
      <c r="AH192" s="421" t="n"/>
      <c r="AI192" s="421" t="n"/>
      <c r="AJ192" s="421" t="n"/>
      <c r="AK192" s="421" t="n"/>
      <c r="AL192" s="452" t="n"/>
      <c r="AM192" s="452" t="n"/>
      <c r="AN192" s="452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  <c r="Y193" s="421" t="n"/>
      <c r="Z193" s="421" t="n"/>
      <c r="AA193" s="421" t="n"/>
      <c r="AB193" s="421" t="n"/>
      <c r="AC193" s="421" t="n"/>
      <c r="AD193" s="421" t="n"/>
      <c r="AE193" s="421" t="n"/>
      <c r="AF193" s="421" t="n"/>
      <c r="AG193" s="421" t="n"/>
      <c r="AH193" s="421" t="n"/>
      <c r="AI193" s="421" t="n"/>
      <c r="AJ193" s="421" t="n"/>
      <c r="AK193" s="421" t="n"/>
      <c r="AL193" s="452" t="n"/>
      <c r="AM193" s="452" t="n"/>
      <c r="AN193" s="452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  <c r="Y194" s="421" t="n"/>
      <c r="Z194" s="421" t="n"/>
      <c r="AA194" s="421" t="n"/>
      <c r="AB194" s="421" t="n"/>
      <c r="AC194" s="421" t="n"/>
      <c r="AD194" s="421" t="n"/>
      <c r="AE194" s="421" t="n"/>
      <c r="AF194" s="421" t="n"/>
      <c r="AG194" s="421" t="n"/>
      <c r="AH194" s="421" t="n"/>
      <c r="AI194" s="421" t="n"/>
      <c r="AJ194" s="421" t="n"/>
      <c r="AK194" s="421" t="n"/>
      <c r="AL194" s="452" t="n"/>
      <c r="AM194" s="452" t="n"/>
      <c r="AN194" s="452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19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  <c r="Y195" s="421" t="n"/>
      <c r="Z195" s="421" t="n"/>
      <c r="AA195" s="421" t="n"/>
      <c r="AB195" s="421" t="n"/>
      <c r="AC195" s="421" t="n"/>
      <c r="AD195" s="421" t="n"/>
      <c r="AE195" s="421" t="n"/>
      <c r="AF195" s="421" t="n"/>
      <c r="AG195" s="421" t="n"/>
      <c r="AH195" s="421" t="n"/>
      <c r="AI195" s="421" t="n"/>
      <c r="AJ195" s="421" t="n"/>
      <c r="AK195" s="421" t="n"/>
      <c r="AL195" s="452" t="n"/>
      <c r="AM195" s="452" t="n"/>
      <c r="AN195" s="452" t="n"/>
    </row>
    <row r="196">
      <c r="A196" s="421" t="n"/>
      <c r="B196" s="421" t="n"/>
      <c r="C196" s="453" t="n"/>
      <c r="D196" s="421" t="n"/>
      <c r="E196" s="421" t="n"/>
      <c r="F196" s="421" t="n"/>
      <c r="G196" s="421" t="n"/>
      <c r="H196" s="421" t="n"/>
      <c r="I196" s="421" t="n"/>
      <c r="J196" s="419" t="n"/>
      <c r="K196" s="454" t="n"/>
      <c r="L196" s="421" t="n"/>
      <c r="M196" s="421" t="n"/>
      <c r="N196" s="421" t="n"/>
      <c r="O196" s="421" t="n"/>
      <c r="P196" s="421" t="n"/>
      <c r="Q196" s="456" t="n"/>
      <c r="R196" s="421" t="n"/>
      <c r="S196" s="421" t="n"/>
      <c r="T196" s="421" t="n"/>
      <c r="U196" s="487" t="n"/>
      <c r="V196" s="421" t="n"/>
      <c r="W196" s="515" t="n"/>
      <c r="X196" s="515" t="n"/>
      <c r="Y196" s="515" t="n"/>
      <c r="Z196" s="515" t="n"/>
      <c r="AA196" s="515" t="n"/>
      <c r="AB196" s="515" t="n"/>
      <c r="AC196" s="515" t="n"/>
      <c r="AD196" s="515" t="n"/>
      <c r="AE196" s="515" t="n"/>
      <c r="AF196" s="515" t="n"/>
      <c r="AG196" s="515" t="n"/>
      <c r="AH196" s="515" t="n"/>
      <c r="AI196" s="515" t="n"/>
      <c r="AJ196" s="515" t="n"/>
      <c r="AK196" s="515" t="n"/>
      <c r="AL196" s="459" t="n"/>
      <c r="AM196" s="459" t="n"/>
      <c r="AN196" s="459" t="n"/>
    </row>
    <row r="197">
      <c r="A197" s="421" t="n"/>
      <c r="B197" s="421" t="n"/>
      <c r="C197" s="453" t="n"/>
      <c r="D197" s="421" t="n"/>
      <c r="E197" s="421" t="n"/>
      <c r="F197" s="421" t="n"/>
      <c r="G197" s="421" t="n"/>
      <c r="H197" s="421" t="n"/>
      <c r="I197" s="421" t="n"/>
      <c r="J197" s="419" t="n"/>
      <c r="K197" s="454" t="n"/>
      <c r="L197" s="421" t="n"/>
      <c r="M197" s="421" t="n"/>
      <c r="N197" s="421" t="n"/>
      <c r="O197" s="421" t="n"/>
      <c r="P197" s="421" t="n"/>
      <c r="Q197" s="456" t="n"/>
      <c r="R197" s="421" t="n"/>
      <c r="S197" s="421" t="n"/>
      <c r="T197" s="421" t="n"/>
      <c r="U197" s="487" t="n"/>
      <c r="V197" s="421" t="n"/>
      <c r="W197" s="515" t="n"/>
      <c r="X197" s="515" t="n"/>
      <c r="Y197" s="515" t="n"/>
      <c r="Z197" s="515" t="n"/>
      <c r="AA197" s="515" t="n"/>
      <c r="AB197" s="515" t="n"/>
      <c r="AC197" s="515" t="n"/>
      <c r="AD197" s="515" t="n"/>
      <c r="AE197" s="515" t="n"/>
      <c r="AF197" s="515" t="n"/>
      <c r="AG197" s="515" t="n"/>
      <c r="AH197" s="515" t="n"/>
      <c r="AI197" s="515" t="n"/>
      <c r="AJ197" s="515" t="n"/>
      <c r="AK197" s="515" t="n"/>
      <c r="AL197" s="459" t="n"/>
      <c r="AM197" s="459" t="n"/>
      <c r="AN197" s="459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419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87" t="n"/>
      <c r="V198" s="421" t="n"/>
      <c r="W198" s="421" t="n"/>
      <c r="X198" s="421" t="n"/>
      <c r="Y198" s="421" t="n"/>
      <c r="Z198" s="421" t="n"/>
      <c r="AA198" s="421" t="n"/>
      <c r="AB198" s="421" t="n"/>
      <c r="AC198" s="421" t="n"/>
      <c r="AD198" s="421" t="n"/>
      <c r="AE198" s="421" t="n"/>
      <c r="AF198" s="421" t="n"/>
      <c r="AG198" s="421" t="n"/>
      <c r="AH198" s="421" t="n"/>
      <c r="AI198" s="421" t="n"/>
      <c r="AJ198" s="421" t="n"/>
      <c r="AK198" s="421" t="n"/>
      <c r="AL198" s="452" t="n"/>
      <c r="AM198" s="452" t="n"/>
      <c r="AN198" s="452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419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  <c r="Y199" s="421" t="n"/>
      <c r="Z199" s="421" t="n"/>
      <c r="AA199" s="421" t="n"/>
      <c r="AB199" s="421" t="n"/>
      <c r="AC199" s="421" t="n"/>
      <c r="AD199" s="421" t="n"/>
      <c r="AE199" s="421" t="n"/>
      <c r="AF199" s="421" t="n"/>
      <c r="AG199" s="421" t="n"/>
      <c r="AH199" s="421" t="n"/>
      <c r="AI199" s="421" t="n"/>
      <c r="AJ199" s="421" t="n"/>
      <c r="AK199" s="421" t="n"/>
      <c r="AL199" s="452" t="n"/>
      <c r="AM199" s="452" t="n"/>
      <c r="AN199" s="452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419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517" t="n"/>
      <c r="X200" s="517" t="n"/>
      <c r="Y200" s="517" t="n"/>
      <c r="Z200" s="517" t="n"/>
      <c r="AA200" s="517" t="n"/>
      <c r="AB200" s="517" t="n"/>
      <c r="AC200" s="517" t="n"/>
      <c r="AD200" s="517" t="n"/>
      <c r="AE200" s="517" t="n"/>
      <c r="AF200" s="517" t="n"/>
      <c r="AG200" s="517" t="n"/>
      <c r="AH200" s="517" t="n"/>
      <c r="AI200" s="517" t="n"/>
      <c r="AJ200" s="517" t="n"/>
      <c r="AK200" s="517" t="n"/>
      <c r="AL200" s="461" t="n"/>
      <c r="AM200" s="461" t="n"/>
      <c r="AN200" s="46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419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515" t="n"/>
      <c r="X201" s="515" t="n"/>
      <c r="Y201" s="515" t="n"/>
      <c r="Z201" s="515" t="n"/>
      <c r="AA201" s="515" t="n"/>
      <c r="AB201" s="515" t="n"/>
      <c r="AC201" s="515" t="n"/>
      <c r="AD201" s="515" t="n"/>
      <c r="AE201" s="515" t="n"/>
      <c r="AF201" s="515" t="n"/>
      <c r="AG201" s="515" t="n"/>
      <c r="AH201" s="515" t="n"/>
      <c r="AI201" s="515" t="n"/>
      <c r="AJ201" s="515" t="n"/>
      <c r="AK201" s="515" t="n"/>
      <c r="AL201" s="459" t="n"/>
      <c r="AM201" s="459" t="n"/>
      <c r="AN201" s="459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19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515" t="n"/>
      <c r="X202" s="515" t="n"/>
      <c r="Y202" s="515" t="n"/>
      <c r="Z202" s="515" t="n"/>
      <c r="AA202" s="515" t="n"/>
      <c r="AB202" s="515" t="n"/>
      <c r="AC202" s="515" t="n"/>
      <c r="AD202" s="515" t="n"/>
      <c r="AE202" s="515" t="n"/>
      <c r="AF202" s="515" t="n"/>
      <c r="AG202" s="515" t="n"/>
      <c r="AH202" s="515" t="n"/>
      <c r="AI202" s="515" t="n"/>
      <c r="AJ202" s="515" t="n"/>
      <c r="AK202" s="515" t="n"/>
      <c r="AL202" s="459" t="n"/>
      <c r="AM202" s="459" t="n"/>
      <c r="AN202" s="459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19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  <c r="Y203" s="421" t="n"/>
      <c r="Z203" s="421" t="n"/>
      <c r="AA203" s="421" t="n"/>
      <c r="AB203" s="421" t="n"/>
      <c r="AC203" s="421" t="n"/>
      <c r="AD203" s="421" t="n"/>
      <c r="AE203" s="421" t="n"/>
      <c r="AF203" s="421" t="n"/>
      <c r="AG203" s="421" t="n"/>
      <c r="AH203" s="421" t="n"/>
      <c r="AI203" s="421" t="n"/>
      <c r="AJ203" s="421" t="n"/>
      <c r="AK203" s="421" t="n"/>
      <c r="AL203" s="452" t="n"/>
      <c r="AM203" s="452" t="n"/>
      <c r="AN203" s="452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19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  <c r="Y204" s="421" t="n"/>
      <c r="Z204" s="421" t="n"/>
      <c r="AA204" s="421" t="n"/>
      <c r="AB204" s="421" t="n"/>
      <c r="AC204" s="421" t="n"/>
      <c r="AD204" s="421" t="n"/>
      <c r="AE204" s="421" t="n"/>
      <c r="AF204" s="421" t="n"/>
      <c r="AG204" s="421" t="n"/>
      <c r="AH204" s="421" t="n"/>
      <c r="AI204" s="421" t="n"/>
      <c r="AJ204" s="421" t="n"/>
      <c r="AK204" s="421" t="n"/>
      <c r="AL204" s="452" t="n"/>
      <c r="AM204" s="452" t="n"/>
      <c r="AN204" s="452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19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  <c r="Y205" s="421" t="n"/>
      <c r="Z205" s="421" t="n"/>
      <c r="AA205" s="421" t="n"/>
      <c r="AB205" s="421" t="n"/>
      <c r="AC205" s="421" t="n"/>
      <c r="AD205" s="421" t="n"/>
      <c r="AE205" s="421" t="n"/>
      <c r="AF205" s="421" t="n"/>
      <c r="AG205" s="421" t="n"/>
      <c r="AH205" s="421" t="n"/>
      <c r="AI205" s="421" t="n"/>
      <c r="AJ205" s="421" t="n"/>
      <c r="AK205" s="421" t="n"/>
      <c r="AL205" s="452" t="n"/>
      <c r="AM205" s="452" t="n"/>
      <c r="AN205" s="452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21" t="n"/>
      <c r="V206" s="421" t="n"/>
      <c r="W206" s="421" t="n"/>
      <c r="X206" s="421" t="n"/>
      <c r="Y206" s="421" t="n"/>
      <c r="Z206" s="421" t="n"/>
      <c r="AA206" s="421" t="n"/>
      <c r="AB206" s="421" t="n"/>
      <c r="AC206" s="421" t="n"/>
      <c r="AD206" s="421" t="n"/>
      <c r="AE206" s="421" t="n"/>
      <c r="AF206" s="421" t="n"/>
      <c r="AG206" s="421" t="n"/>
      <c r="AH206" s="421" t="n"/>
      <c r="AI206" s="421" t="n"/>
      <c r="AJ206" s="421" t="n"/>
      <c r="AK206" s="421" t="n"/>
      <c r="AL206" s="452" t="n"/>
      <c r="AM206" s="452" t="n"/>
      <c r="AN206" s="452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  <c r="Y207" s="421" t="n"/>
      <c r="Z207" s="421" t="n"/>
      <c r="AA207" s="421" t="n"/>
      <c r="AB207" s="421" t="n"/>
      <c r="AC207" s="421" t="n"/>
      <c r="AD207" s="421" t="n"/>
      <c r="AE207" s="421" t="n"/>
      <c r="AF207" s="421" t="n"/>
      <c r="AG207" s="421" t="n"/>
      <c r="AH207" s="421" t="n"/>
      <c r="AI207" s="421" t="n"/>
      <c r="AJ207" s="421" t="n"/>
      <c r="AK207" s="421" t="n"/>
      <c r="AL207" s="452" t="n"/>
      <c r="AM207" s="452" t="n"/>
      <c r="AN207" s="452" t="n"/>
    </row>
    <row r="208">
      <c r="A208" s="421" t="n"/>
      <c r="B208" s="421" t="n"/>
      <c r="C208" s="453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56" t="n"/>
      <c r="R208" s="421" t="n"/>
      <c r="S208" s="421" t="n"/>
      <c r="T208" s="421" t="n"/>
      <c r="U208" s="487" t="n"/>
      <c r="V208" s="421" t="n"/>
      <c r="W208" s="421" t="n"/>
      <c r="X208" s="421" t="n"/>
      <c r="Y208" s="421" t="n"/>
      <c r="Z208" s="421" t="n"/>
      <c r="AA208" s="421" t="n"/>
      <c r="AB208" s="421" t="n"/>
      <c r="AC208" s="421" t="n"/>
      <c r="AD208" s="421" t="n"/>
      <c r="AE208" s="421" t="n"/>
      <c r="AF208" s="421" t="n"/>
      <c r="AG208" s="421" t="n"/>
      <c r="AH208" s="421" t="n"/>
      <c r="AI208" s="421" t="n"/>
      <c r="AJ208" s="421" t="n"/>
      <c r="AK208" s="421" t="n"/>
      <c r="AL208" s="452" t="n"/>
      <c r="AM208" s="452" t="n"/>
      <c r="AN208" s="452" t="n"/>
    </row>
    <row r="209">
      <c r="A209" s="421" t="n"/>
      <c r="B209" s="421" t="n"/>
      <c r="C209" s="453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56" t="n"/>
      <c r="R209" s="421" t="n"/>
      <c r="S209" s="421" t="n"/>
      <c r="T209" s="421" t="n"/>
      <c r="U209" s="487" t="n"/>
      <c r="V209" s="421" t="n"/>
      <c r="W209" s="421" t="n"/>
      <c r="X209" s="421" t="n"/>
      <c r="Y209" s="421" t="n"/>
      <c r="Z209" s="421" t="n"/>
      <c r="AA209" s="421" t="n"/>
      <c r="AB209" s="421" t="n"/>
      <c r="AC209" s="421" t="n"/>
      <c r="AD209" s="421" t="n"/>
      <c r="AE209" s="421" t="n"/>
      <c r="AF209" s="421" t="n"/>
      <c r="AG209" s="421" t="n"/>
      <c r="AH209" s="421" t="n"/>
      <c r="AI209" s="421" t="n"/>
      <c r="AJ209" s="421" t="n"/>
      <c r="AK209" s="421" t="n"/>
      <c r="AL209" s="452" t="n"/>
      <c r="AM209" s="452" t="n"/>
      <c r="AN209" s="452" t="n"/>
    </row>
    <row r="210">
      <c r="A210" s="421" t="n"/>
      <c r="B210" s="421" t="n"/>
      <c r="C210" s="453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56" t="n"/>
      <c r="R210" s="421" t="n"/>
      <c r="S210" s="421" t="n"/>
      <c r="T210" s="421" t="n"/>
      <c r="U210" s="487" t="n"/>
      <c r="V210" s="421" t="n"/>
      <c r="W210" s="421" t="n"/>
      <c r="X210" s="421" t="n"/>
      <c r="Y210" s="421" t="n"/>
      <c r="Z210" s="421" t="n"/>
      <c r="AA210" s="421" t="n"/>
      <c r="AB210" s="421" t="n"/>
      <c r="AC210" s="421" t="n"/>
      <c r="AD210" s="421" t="n"/>
      <c r="AE210" s="421" t="n"/>
      <c r="AF210" s="421" t="n"/>
      <c r="AG210" s="421" t="n"/>
      <c r="AH210" s="421" t="n"/>
      <c r="AI210" s="421" t="n"/>
      <c r="AJ210" s="421" t="n"/>
      <c r="AK210" s="421" t="n"/>
      <c r="AL210" s="452" t="n"/>
      <c r="AM210" s="452" t="n"/>
      <c r="AN210" s="452" t="n"/>
    </row>
    <row r="211">
      <c r="A211" s="421" t="n"/>
      <c r="B211" s="421" t="n"/>
      <c r="C211" s="453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56" t="n"/>
      <c r="R211" s="421" t="n"/>
      <c r="S211" s="421" t="n"/>
      <c r="T211" s="421" t="n"/>
      <c r="U211" s="421" t="n"/>
      <c r="V211" s="421" t="n"/>
      <c r="W211" s="421" t="n"/>
      <c r="X211" s="421" t="n"/>
      <c r="Y211" s="421" t="n"/>
      <c r="Z211" s="421" t="n"/>
      <c r="AA211" s="421" t="n"/>
      <c r="AB211" s="421" t="n"/>
      <c r="AC211" s="421" t="n"/>
      <c r="AD211" s="421" t="n"/>
      <c r="AE211" s="421" t="n"/>
      <c r="AF211" s="421" t="n"/>
      <c r="AG211" s="421" t="n"/>
      <c r="AH211" s="421" t="n"/>
      <c r="AI211" s="421" t="n"/>
      <c r="AJ211" s="421" t="n"/>
      <c r="AK211" s="421" t="n"/>
      <c r="AL211" s="452" t="n"/>
      <c r="AM211" s="452" t="n"/>
      <c r="AN211" s="452" t="n"/>
    </row>
    <row r="212">
      <c r="A212" s="421" t="n"/>
      <c r="B212" s="421" t="n"/>
      <c r="C212" s="453" t="n"/>
      <c r="D212" s="421" t="n"/>
      <c r="E212" s="421" t="n"/>
      <c r="F212" s="421" t="n"/>
      <c r="G212" s="421" t="n"/>
      <c r="H212" s="421" t="n"/>
      <c r="I212" s="421" t="n"/>
      <c r="J212" s="419" t="n"/>
      <c r="K212" s="454" t="n"/>
      <c r="L212" s="421" t="n"/>
      <c r="M212" s="421" t="n"/>
      <c r="N212" s="421" t="n"/>
      <c r="O212" s="421" t="n"/>
      <c r="P212" s="421" t="n"/>
      <c r="Q212" s="456" t="n"/>
      <c r="R212" s="421" t="n"/>
      <c r="S212" s="421" t="n"/>
      <c r="T212" s="421" t="n"/>
      <c r="U212" s="487" t="n"/>
      <c r="V212" s="421" t="n"/>
      <c r="W212" s="421" t="n"/>
      <c r="X212" s="421" t="n"/>
      <c r="Y212" s="421" t="n"/>
      <c r="Z212" s="421" t="n"/>
      <c r="AA212" s="421" t="n"/>
      <c r="AB212" s="421" t="n"/>
      <c r="AC212" s="421" t="n"/>
      <c r="AD212" s="421" t="n"/>
      <c r="AE212" s="421" t="n"/>
      <c r="AF212" s="421" t="n"/>
      <c r="AG212" s="421" t="n"/>
      <c r="AH212" s="421" t="n"/>
      <c r="AI212" s="421" t="n"/>
      <c r="AJ212" s="421" t="n"/>
      <c r="AK212" s="421" t="n"/>
      <c r="AL212" s="452" t="n"/>
      <c r="AM212" s="452" t="n"/>
      <c r="AN212" s="452" t="n"/>
    </row>
    <row r="213">
      <c r="A213" s="421" t="n"/>
      <c r="B213" s="421" t="n"/>
      <c r="C213" s="453" t="n"/>
      <c r="D213" s="421" t="n"/>
      <c r="E213" s="421" t="n"/>
      <c r="F213" s="421" t="n"/>
      <c r="G213" s="421" t="n"/>
      <c r="H213" s="421" t="n"/>
      <c r="I213" s="421" t="n"/>
      <c r="J213" s="419" t="n"/>
      <c r="K213" s="454" t="n"/>
      <c r="L213" s="421" t="n"/>
      <c r="M213" s="421" t="n"/>
      <c r="N213" s="421" t="n"/>
      <c r="O213" s="421" t="n"/>
      <c r="P213" s="421" t="n"/>
      <c r="Q213" s="456" t="n"/>
      <c r="R213" s="421" t="n"/>
      <c r="S213" s="421" t="n"/>
      <c r="T213" s="421" t="n"/>
      <c r="U213" s="487" t="n"/>
      <c r="V213" s="421" t="n"/>
      <c r="W213" s="421" t="n"/>
      <c r="X213" s="421" t="n"/>
      <c r="Y213" s="421" t="n"/>
      <c r="Z213" s="421" t="n"/>
      <c r="AA213" s="421" t="n"/>
      <c r="AB213" s="421" t="n"/>
      <c r="AC213" s="421" t="n"/>
      <c r="AD213" s="421" t="n"/>
      <c r="AE213" s="421" t="n"/>
      <c r="AF213" s="421" t="n"/>
      <c r="AG213" s="421" t="n"/>
      <c r="AH213" s="421" t="n"/>
      <c r="AI213" s="421" t="n"/>
      <c r="AJ213" s="421" t="n"/>
      <c r="AK213" s="421" t="n"/>
      <c r="AL213" s="452" t="n"/>
      <c r="AM213" s="452" t="n"/>
      <c r="AN213" s="452" t="n"/>
    </row>
    <row r="214">
      <c r="A214" s="421" t="n"/>
      <c r="B214" s="421" t="n"/>
      <c r="C214" s="453" t="n"/>
      <c r="D214" s="421" t="n"/>
      <c r="E214" s="421" t="n"/>
      <c r="F214" s="421" t="n"/>
      <c r="G214" s="421" t="n"/>
      <c r="H214" s="421" t="n"/>
      <c r="I214" s="421" t="n"/>
      <c r="J214" s="419" t="n"/>
      <c r="K214" s="454" t="n"/>
      <c r="L214" s="421" t="n"/>
      <c r="M214" s="421" t="n"/>
      <c r="N214" s="421" t="n"/>
      <c r="O214" s="421" t="n"/>
      <c r="P214" s="421" t="n"/>
      <c r="Q214" s="456" t="n"/>
      <c r="R214" s="421" t="n"/>
      <c r="S214" s="421" t="n"/>
      <c r="T214" s="421" t="n"/>
      <c r="U214" s="487" t="n"/>
      <c r="V214" s="421" t="n"/>
      <c r="W214" s="421" t="n"/>
      <c r="X214" s="421" t="n"/>
      <c r="Y214" s="421" t="n"/>
      <c r="Z214" s="421" t="n"/>
      <c r="AA214" s="421" t="n"/>
      <c r="AB214" s="421" t="n"/>
      <c r="AC214" s="421" t="n"/>
      <c r="AD214" s="421" t="n"/>
      <c r="AE214" s="421" t="n"/>
      <c r="AF214" s="421" t="n"/>
      <c r="AG214" s="421" t="n"/>
      <c r="AH214" s="421" t="n"/>
      <c r="AI214" s="421" t="n"/>
      <c r="AJ214" s="421" t="n"/>
      <c r="AK214" s="421" t="n"/>
      <c r="AL214" s="452" t="n"/>
      <c r="AM214" s="452" t="n"/>
      <c r="AN214" s="452" t="n"/>
    </row>
    <row r="215">
      <c r="A215" s="421" t="n"/>
      <c r="B215" s="421" t="n"/>
      <c r="C215" s="453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56" t="n"/>
      <c r="R215" s="421" t="n"/>
      <c r="S215" s="421" t="n"/>
      <c r="T215" s="421" t="n"/>
      <c r="U215" s="487" t="n"/>
      <c r="V215" s="421" t="n"/>
      <c r="W215" s="421" t="n"/>
      <c r="X215" s="421" t="n"/>
      <c r="Y215" s="421" t="n"/>
      <c r="Z215" s="421" t="n"/>
      <c r="AA215" s="421" t="n"/>
      <c r="AB215" s="421" t="n"/>
      <c r="AC215" s="421" t="n"/>
      <c r="AD215" s="421" t="n"/>
      <c r="AE215" s="421" t="n"/>
      <c r="AF215" s="421" t="n"/>
      <c r="AG215" s="421" t="n"/>
      <c r="AH215" s="421" t="n"/>
      <c r="AI215" s="421" t="n"/>
      <c r="AJ215" s="421" t="n"/>
      <c r="AK215" s="421" t="n"/>
      <c r="AL215" s="452" t="n"/>
      <c r="AM215" s="452" t="n"/>
      <c r="AN215" s="452" t="n"/>
    </row>
    <row r="216">
      <c r="A216" s="421" t="n"/>
      <c r="B216" s="421" t="n"/>
      <c r="C216" s="453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56" t="n"/>
      <c r="R216" s="421" t="n"/>
      <c r="S216" s="421" t="n"/>
      <c r="T216" s="421" t="n"/>
      <c r="U216" s="487" t="n"/>
      <c r="V216" s="421" t="n"/>
      <c r="W216" s="421" t="n"/>
      <c r="X216" s="421" t="n"/>
      <c r="Y216" s="421" t="n"/>
      <c r="Z216" s="421" t="n"/>
      <c r="AA216" s="421" t="n"/>
      <c r="AB216" s="421" t="n"/>
      <c r="AC216" s="421" t="n"/>
      <c r="AD216" s="421" t="n"/>
      <c r="AE216" s="421" t="n"/>
      <c r="AF216" s="421" t="n"/>
      <c r="AG216" s="421" t="n"/>
      <c r="AH216" s="421" t="n"/>
      <c r="AI216" s="421" t="n"/>
      <c r="AJ216" s="421" t="n"/>
      <c r="AK216" s="421" t="n"/>
      <c r="AL216" s="452" t="n"/>
      <c r="AM216" s="452" t="n"/>
      <c r="AN216" s="452" t="n"/>
    </row>
    <row r="217">
      <c r="A217" s="421" t="n"/>
      <c r="B217" s="421" t="n"/>
      <c r="C217" s="453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56" t="n"/>
      <c r="R217" s="421" t="n"/>
      <c r="S217" s="421" t="n"/>
      <c r="T217" s="421" t="n"/>
      <c r="U217" s="487" t="n"/>
      <c r="V217" s="421" t="n"/>
      <c r="W217" s="421" t="n"/>
      <c r="X217" s="421" t="n"/>
      <c r="Y217" s="421" t="n"/>
      <c r="Z217" s="421" t="n"/>
      <c r="AA217" s="421" t="n"/>
      <c r="AB217" s="421" t="n"/>
      <c r="AC217" s="421" t="n"/>
      <c r="AD217" s="421" t="n"/>
      <c r="AE217" s="421" t="n"/>
      <c r="AF217" s="421" t="n"/>
      <c r="AG217" s="421" t="n"/>
      <c r="AH217" s="421" t="n"/>
      <c r="AI217" s="421" t="n"/>
      <c r="AJ217" s="421" t="n"/>
      <c r="AK217" s="421" t="n"/>
      <c r="AL217" s="452" t="n"/>
      <c r="AM217" s="452" t="n"/>
      <c r="AN217" s="452" t="n"/>
    </row>
    <row r="218">
      <c r="A218" s="421" t="n"/>
      <c r="B218" s="421" t="n"/>
      <c r="C218" s="453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56" t="n"/>
      <c r="R218" s="421" t="n"/>
      <c r="S218" s="421" t="n"/>
      <c r="T218" s="421" t="n"/>
      <c r="U218" s="487" t="n"/>
      <c r="V218" s="421" t="n"/>
      <c r="W218" s="421" t="n"/>
      <c r="X218" s="421" t="n"/>
      <c r="Y218" s="421" t="n"/>
      <c r="Z218" s="421" t="n"/>
      <c r="AA218" s="421" t="n"/>
      <c r="AB218" s="421" t="n"/>
      <c r="AC218" s="421" t="n"/>
      <c r="AD218" s="421" t="n"/>
      <c r="AE218" s="421" t="n"/>
      <c r="AF218" s="421" t="n"/>
      <c r="AG218" s="421" t="n"/>
      <c r="AH218" s="421" t="n"/>
      <c r="AI218" s="421" t="n"/>
      <c r="AJ218" s="421" t="n"/>
      <c r="AK218" s="421" t="n"/>
      <c r="AL218" s="452" t="n"/>
      <c r="AM218" s="452" t="n"/>
      <c r="AN218" s="452" t="n"/>
    </row>
    <row r="219">
      <c r="A219" s="421" t="n"/>
      <c r="B219" s="421" t="n"/>
      <c r="C219" s="453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56" t="n"/>
      <c r="R219" s="421" t="n"/>
      <c r="S219" s="421" t="n"/>
      <c r="T219" s="421" t="n"/>
      <c r="U219" s="487" t="n"/>
      <c r="V219" s="421" t="n"/>
      <c r="W219" s="421" t="n"/>
      <c r="X219" s="421" t="n"/>
      <c r="Y219" s="421" t="n"/>
      <c r="Z219" s="421" t="n"/>
      <c r="AA219" s="421" t="n"/>
      <c r="AB219" s="421" t="n"/>
      <c r="AC219" s="421" t="n"/>
      <c r="AD219" s="421" t="n"/>
      <c r="AE219" s="421" t="n"/>
      <c r="AF219" s="421" t="n"/>
      <c r="AG219" s="421" t="n"/>
      <c r="AH219" s="421" t="n"/>
      <c r="AI219" s="421" t="n"/>
      <c r="AJ219" s="421" t="n"/>
      <c r="AK219" s="421" t="n"/>
      <c r="AL219" s="452" t="n"/>
      <c r="AM219" s="452" t="n"/>
      <c r="AN219" s="452" t="n"/>
    </row>
    <row r="220">
      <c r="A220" s="421" t="n"/>
      <c r="B220" s="421" t="n"/>
      <c r="C220" s="453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56" t="n"/>
      <c r="R220" s="421" t="n"/>
      <c r="S220" s="421" t="n"/>
      <c r="T220" s="421" t="n"/>
      <c r="U220" s="487" t="n"/>
      <c r="V220" s="421" t="n"/>
      <c r="W220" s="421" t="n"/>
      <c r="X220" s="421" t="n"/>
      <c r="Y220" s="421" t="n"/>
      <c r="Z220" s="421" t="n"/>
      <c r="AA220" s="421" t="n"/>
      <c r="AB220" s="421" t="n"/>
      <c r="AC220" s="421" t="n"/>
      <c r="AD220" s="421" t="n"/>
      <c r="AE220" s="421" t="n"/>
      <c r="AF220" s="421" t="n"/>
      <c r="AG220" s="421" t="n"/>
      <c r="AH220" s="421" t="n"/>
      <c r="AI220" s="421" t="n"/>
      <c r="AJ220" s="421" t="n"/>
      <c r="AK220" s="421" t="n"/>
      <c r="AL220" s="452" t="n"/>
      <c r="AM220" s="452" t="n"/>
      <c r="AN220" s="452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  <c r="Y221" s="421" t="n"/>
      <c r="Z221" s="421" t="n"/>
      <c r="AA221" s="421" t="n"/>
      <c r="AB221" s="421" t="n"/>
      <c r="AC221" s="421" t="n"/>
      <c r="AD221" s="421" t="n"/>
      <c r="AE221" s="421" t="n"/>
      <c r="AF221" s="421" t="n"/>
      <c r="AG221" s="421" t="n"/>
      <c r="AH221" s="421" t="n"/>
      <c r="AI221" s="421" t="n"/>
      <c r="AJ221" s="421" t="n"/>
      <c r="AK221" s="421" t="n"/>
      <c r="AL221" s="452" t="n"/>
      <c r="AM221" s="452" t="n"/>
      <c r="AN221" s="452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  <c r="Y222" s="421" t="n"/>
      <c r="Z222" s="421" t="n"/>
      <c r="AA222" s="421" t="n"/>
      <c r="AB222" s="421" t="n"/>
      <c r="AC222" s="421" t="n"/>
      <c r="AD222" s="421" t="n"/>
      <c r="AE222" s="421" t="n"/>
      <c r="AF222" s="421" t="n"/>
      <c r="AG222" s="421" t="n"/>
      <c r="AH222" s="421" t="n"/>
      <c r="AI222" s="421" t="n"/>
      <c r="AJ222" s="421" t="n"/>
      <c r="AK222" s="421" t="n"/>
      <c r="AL222" s="452" t="n"/>
      <c r="AM222" s="452" t="n"/>
      <c r="AN222" s="452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  <c r="Y223" s="421" t="n"/>
      <c r="Z223" s="421" t="n"/>
      <c r="AA223" s="421" t="n"/>
      <c r="AB223" s="421" t="n"/>
      <c r="AC223" s="421" t="n"/>
      <c r="AD223" s="421" t="n"/>
      <c r="AE223" s="421" t="n"/>
      <c r="AF223" s="421" t="n"/>
      <c r="AG223" s="421" t="n"/>
      <c r="AH223" s="421" t="n"/>
      <c r="AI223" s="421" t="n"/>
      <c r="AJ223" s="421" t="n"/>
      <c r="AK223" s="421" t="n"/>
      <c r="AL223" s="452" t="n"/>
      <c r="AM223" s="452" t="n"/>
      <c r="AN223" s="452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  <c r="Y224" s="421" t="n"/>
      <c r="Z224" s="421" t="n"/>
      <c r="AA224" s="421" t="n"/>
      <c r="AB224" s="421" t="n"/>
      <c r="AC224" s="421" t="n"/>
      <c r="AD224" s="421" t="n"/>
      <c r="AE224" s="421" t="n"/>
      <c r="AF224" s="421" t="n"/>
      <c r="AG224" s="421" t="n"/>
      <c r="AH224" s="421" t="n"/>
      <c r="AI224" s="421" t="n"/>
      <c r="AJ224" s="421" t="n"/>
      <c r="AK224" s="421" t="n"/>
      <c r="AL224" s="452" t="n"/>
      <c r="AM224" s="452" t="n"/>
      <c r="AN224" s="452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  <c r="Y225" s="421" t="n"/>
      <c r="Z225" s="421" t="n"/>
      <c r="AA225" s="421" t="n"/>
      <c r="AB225" s="421" t="n"/>
      <c r="AC225" s="421" t="n"/>
      <c r="AD225" s="421" t="n"/>
      <c r="AE225" s="421" t="n"/>
      <c r="AF225" s="421" t="n"/>
      <c r="AG225" s="421" t="n"/>
      <c r="AH225" s="421" t="n"/>
      <c r="AI225" s="421" t="n"/>
      <c r="AJ225" s="421" t="n"/>
      <c r="AK225" s="421" t="n"/>
      <c r="AL225" s="452" t="n"/>
      <c r="AM225" s="452" t="n"/>
      <c r="AN225" s="452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  <c r="Y226" s="421" t="n"/>
      <c r="Z226" s="421" t="n"/>
      <c r="AA226" s="421" t="n"/>
      <c r="AB226" s="421" t="n"/>
      <c r="AC226" s="421" t="n"/>
      <c r="AD226" s="421" t="n"/>
      <c r="AE226" s="421" t="n"/>
      <c r="AF226" s="421" t="n"/>
      <c r="AG226" s="421" t="n"/>
      <c r="AH226" s="421" t="n"/>
      <c r="AI226" s="421" t="n"/>
      <c r="AJ226" s="421" t="n"/>
      <c r="AK226" s="421" t="n"/>
      <c r="AL226" s="452" t="n"/>
      <c r="AM226" s="452" t="n"/>
      <c r="AN226" s="452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  <c r="Y227" s="421" t="n"/>
      <c r="Z227" s="421" t="n"/>
      <c r="AA227" s="421" t="n"/>
      <c r="AB227" s="421" t="n"/>
      <c r="AC227" s="421" t="n"/>
      <c r="AD227" s="421" t="n"/>
      <c r="AE227" s="421" t="n"/>
      <c r="AF227" s="421" t="n"/>
      <c r="AG227" s="421" t="n"/>
      <c r="AH227" s="421" t="n"/>
      <c r="AI227" s="421" t="n"/>
      <c r="AJ227" s="421" t="n"/>
      <c r="AK227" s="421" t="n"/>
      <c r="AL227" s="452" t="n"/>
      <c r="AM227" s="452" t="n"/>
      <c r="AN227" s="452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  <c r="Y228" s="421" t="n"/>
      <c r="Z228" s="421" t="n"/>
      <c r="AA228" s="421" t="n"/>
      <c r="AB228" s="421" t="n"/>
      <c r="AC228" s="421" t="n"/>
      <c r="AD228" s="421" t="n"/>
      <c r="AE228" s="421" t="n"/>
      <c r="AF228" s="421" t="n"/>
      <c r="AG228" s="421" t="n"/>
      <c r="AH228" s="421" t="n"/>
      <c r="AI228" s="421" t="n"/>
      <c r="AJ228" s="421" t="n"/>
      <c r="AK228" s="421" t="n"/>
      <c r="AL228" s="452" t="n"/>
      <c r="AM228" s="452" t="n"/>
      <c r="AN228" s="452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  <c r="Y229" s="421" t="n"/>
      <c r="Z229" s="421" t="n"/>
      <c r="AA229" s="421" t="n"/>
      <c r="AB229" s="421" t="n"/>
      <c r="AC229" s="421" t="n"/>
      <c r="AD229" s="421" t="n"/>
      <c r="AE229" s="421" t="n"/>
      <c r="AF229" s="421" t="n"/>
      <c r="AG229" s="421" t="n"/>
      <c r="AH229" s="421" t="n"/>
      <c r="AI229" s="421" t="n"/>
      <c r="AJ229" s="421" t="n"/>
      <c r="AK229" s="421" t="n"/>
      <c r="AL229" s="452" t="n"/>
      <c r="AM229" s="452" t="n"/>
      <c r="AN229" s="452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  <c r="Y230" s="421" t="n"/>
      <c r="Z230" s="421" t="n"/>
      <c r="AA230" s="421" t="n"/>
      <c r="AB230" s="421" t="n"/>
      <c r="AC230" s="421" t="n"/>
      <c r="AD230" s="421" t="n"/>
      <c r="AE230" s="421" t="n"/>
      <c r="AF230" s="421" t="n"/>
      <c r="AG230" s="421" t="n"/>
      <c r="AH230" s="421" t="n"/>
      <c r="AI230" s="421" t="n"/>
      <c r="AJ230" s="421" t="n"/>
      <c r="AK230" s="421" t="n"/>
      <c r="AL230" s="452" t="n"/>
      <c r="AM230" s="452" t="n"/>
      <c r="AN230" s="452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  <c r="Y231" s="421" t="n"/>
      <c r="Z231" s="421" t="n"/>
      <c r="AA231" s="421" t="n"/>
      <c r="AB231" s="421" t="n"/>
      <c r="AC231" s="421" t="n"/>
      <c r="AD231" s="421" t="n"/>
      <c r="AE231" s="421" t="n"/>
      <c r="AF231" s="421" t="n"/>
      <c r="AG231" s="421" t="n"/>
      <c r="AH231" s="421" t="n"/>
      <c r="AI231" s="421" t="n"/>
      <c r="AJ231" s="421" t="n"/>
      <c r="AK231" s="421" t="n"/>
      <c r="AL231" s="452" t="n"/>
      <c r="AM231" s="452" t="n"/>
      <c r="AN231" s="452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  <c r="Y232" s="421" t="n"/>
      <c r="Z232" s="421" t="n"/>
      <c r="AA232" s="421" t="n"/>
      <c r="AB232" s="421" t="n"/>
      <c r="AC232" s="421" t="n"/>
      <c r="AD232" s="421" t="n"/>
      <c r="AE232" s="421" t="n"/>
      <c r="AF232" s="421" t="n"/>
      <c r="AG232" s="421" t="n"/>
      <c r="AH232" s="421" t="n"/>
      <c r="AI232" s="421" t="n"/>
      <c r="AJ232" s="421" t="n"/>
      <c r="AK232" s="421" t="n"/>
      <c r="AL232" s="452" t="n"/>
      <c r="AM232" s="452" t="n"/>
      <c r="AN232" s="452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  <c r="Y233" s="421" t="n"/>
      <c r="Z233" s="421" t="n"/>
      <c r="AA233" s="421" t="n"/>
      <c r="AB233" s="421" t="n"/>
      <c r="AC233" s="421" t="n"/>
      <c r="AD233" s="421" t="n"/>
      <c r="AE233" s="421" t="n"/>
      <c r="AF233" s="421" t="n"/>
      <c r="AG233" s="421" t="n"/>
      <c r="AH233" s="421" t="n"/>
      <c r="AI233" s="421" t="n"/>
      <c r="AJ233" s="421" t="n"/>
      <c r="AK233" s="421" t="n"/>
      <c r="AL233" s="452" t="n"/>
      <c r="AM233" s="452" t="n"/>
      <c r="AN233" s="452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  <c r="Y234" s="421" t="n"/>
      <c r="Z234" s="421" t="n"/>
      <c r="AA234" s="421" t="n"/>
      <c r="AB234" s="421" t="n"/>
      <c r="AC234" s="421" t="n"/>
      <c r="AD234" s="421" t="n"/>
      <c r="AE234" s="421" t="n"/>
      <c r="AF234" s="421" t="n"/>
      <c r="AG234" s="421" t="n"/>
      <c r="AH234" s="421" t="n"/>
      <c r="AI234" s="421" t="n"/>
      <c r="AJ234" s="421" t="n"/>
      <c r="AK234" s="421" t="n"/>
      <c r="AL234" s="452" t="n"/>
      <c r="AM234" s="452" t="n"/>
      <c r="AN234" s="452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  <c r="Y235" s="421" t="n"/>
      <c r="Z235" s="421" t="n"/>
      <c r="AA235" s="421" t="n"/>
      <c r="AB235" s="421" t="n"/>
      <c r="AC235" s="421" t="n"/>
      <c r="AD235" s="421" t="n"/>
      <c r="AE235" s="421" t="n"/>
      <c r="AF235" s="421" t="n"/>
      <c r="AG235" s="421" t="n"/>
      <c r="AH235" s="421" t="n"/>
      <c r="AI235" s="421" t="n"/>
      <c r="AJ235" s="421" t="n"/>
      <c r="AK235" s="421" t="n"/>
      <c r="AL235" s="452" t="n"/>
      <c r="AM235" s="452" t="n"/>
      <c r="AN235" s="452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  <c r="Y236" s="421" t="n"/>
      <c r="Z236" s="421" t="n"/>
      <c r="AA236" s="421" t="n"/>
      <c r="AB236" s="421" t="n"/>
      <c r="AC236" s="421" t="n"/>
      <c r="AD236" s="421" t="n"/>
      <c r="AE236" s="421" t="n"/>
      <c r="AF236" s="421" t="n"/>
      <c r="AG236" s="421" t="n"/>
      <c r="AH236" s="421" t="n"/>
      <c r="AI236" s="421" t="n"/>
      <c r="AJ236" s="421" t="n"/>
      <c r="AK236" s="421" t="n"/>
      <c r="AL236" s="452" t="n"/>
      <c r="AM236" s="452" t="n"/>
      <c r="AN236" s="452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54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  <c r="Y237" s="421" t="n"/>
      <c r="Z237" s="421" t="n"/>
      <c r="AA237" s="421" t="n"/>
      <c r="AB237" s="421" t="n"/>
      <c r="AC237" s="421" t="n"/>
      <c r="AD237" s="421" t="n"/>
      <c r="AE237" s="421" t="n"/>
      <c r="AF237" s="421" t="n"/>
      <c r="AG237" s="421" t="n"/>
      <c r="AH237" s="421" t="n"/>
      <c r="AI237" s="421" t="n"/>
      <c r="AJ237" s="421" t="n"/>
      <c r="AK237" s="421" t="n"/>
      <c r="AL237" s="452" t="n"/>
      <c r="AM237" s="452" t="n"/>
      <c r="AN237" s="452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54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  <c r="Y238" s="421" t="n"/>
      <c r="Z238" s="421" t="n"/>
      <c r="AA238" s="421" t="n"/>
      <c r="AB238" s="421" t="n"/>
      <c r="AC238" s="421" t="n"/>
      <c r="AD238" s="421" t="n"/>
      <c r="AE238" s="421" t="n"/>
      <c r="AF238" s="421" t="n"/>
      <c r="AG238" s="421" t="n"/>
      <c r="AH238" s="421" t="n"/>
      <c r="AI238" s="421" t="n"/>
      <c r="AJ238" s="421" t="n"/>
      <c r="AK238" s="421" t="n"/>
      <c r="AL238" s="452" t="n"/>
      <c r="AM238" s="452" t="n"/>
      <c r="AN238" s="452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54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  <c r="Y239" s="421" t="n"/>
      <c r="Z239" s="421" t="n"/>
      <c r="AA239" s="421" t="n"/>
      <c r="AB239" s="421" t="n"/>
      <c r="AC239" s="421" t="n"/>
      <c r="AD239" s="421" t="n"/>
      <c r="AE239" s="421" t="n"/>
      <c r="AF239" s="421" t="n"/>
      <c r="AG239" s="421" t="n"/>
      <c r="AH239" s="421" t="n"/>
      <c r="AI239" s="421" t="n"/>
      <c r="AJ239" s="421" t="n"/>
      <c r="AK239" s="421" t="n"/>
      <c r="AL239" s="452" t="n"/>
      <c r="AM239" s="452" t="n"/>
      <c r="AN239" s="452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54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  <c r="Y240" s="421" t="n"/>
      <c r="Z240" s="421" t="n"/>
      <c r="AA240" s="421" t="n"/>
      <c r="AB240" s="421" t="n"/>
      <c r="AC240" s="421" t="n"/>
      <c r="AD240" s="421" t="n"/>
      <c r="AE240" s="421" t="n"/>
      <c r="AF240" s="421" t="n"/>
      <c r="AG240" s="421" t="n"/>
      <c r="AH240" s="421" t="n"/>
      <c r="AI240" s="421" t="n"/>
      <c r="AJ240" s="421" t="n"/>
      <c r="AK240" s="421" t="n"/>
      <c r="AL240" s="452" t="n"/>
      <c r="AM240" s="452" t="n"/>
      <c r="AN240" s="452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54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  <c r="Y241" s="421" t="n"/>
      <c r="Z241" s="421" t="n"/>
      <c r="AA241" s="421" t="n"/>
      <c r="AB241" s="421" t="n"/>
      <c r="AC241" s="421" t="n"/>
      <c r="AD241" s="421" t="n"/>
      <c r="AE241" s="421" t="n"/>
      <c r="AF241" s="421" t="n"/>
      <c r="AG241" s="421" t="n"/>
      <c r="AH241" s="421" t="n"/>
      <c r="AI241" s="421" t="n"/>
      <c r="AJ241" s="421" t="n"/>
      <c r="AK241" s="421" t="n"/>
      <c r="AL241" s="452" t="n"/>
      <c r="AM241" s="452" t="n"/>
      <c r="AN241" s="452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54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  <c r="Y242" s="421" t="n"/>
      <c r="Z242" s="421" t="n"/>
      <c r="AA242" s="421" t="n"/>
      <c r="AB242" s="421" t="n"/>
      <c r="AC242" s="421" t="n"/>
      <c r="AD242" s="421" t="n"/>
      <c r="AE242" s="421" t="n"/>
      <c r="AF242" s="421" t="n"/>
      <c r="AG242" s="421" t="n"/>
      <c r="AH242" s="421" t="n"/>
      <c r="AI242" s="421" t="n"/>
      <c r="AJ242" s="421" t="n"/>
      <c r="AK242" s="421" t="n"/>
      <c r="AL242" s="452" t="n"/>
      <c r="AM242" s="452" t="n"/>
      <c r="AN242" s="452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54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  <c r="Y243" s="421" t="n"/>
      <c r="Z243" s="421" t="n"/>
      <c r="AA243" s="421" t="n"/>
      <c r="AB243" s="421" t="n"/>
      <c r="AC243" s="421" t="n"/>
      <c r="AD243" s="421" t="n"/>
      <c r="AE243" s="421" t="n"/>
      <c r="AF243" s="421" t="n"/>
      <c r="AG243" s="421" t="n"/>
      <c r="AH243" s="421" t="n"/>
      <c r="AI243" s="421" t="n"/>
      <c r="AJ243" s="421" t="n"/>
      <c r="AK243" s="421" t="n"/>
      <c r="AL243" s="452" t="n"/>
      <c r="AM243" s="452" t="n"/>
      <c r="AN243" s="452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54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  <c r="Y244" s="421" t="n"/>
      <c r="Z244" s="421" t="n"/>
      <c r="AA244" s="421" t="n"/>
      <c r="AB244" s="421" t="n"/>
      <c r="AC244" s="421" t="n"/>
      <c r="AD244" s="421" t="n"/>
      <c r="AE244" s="421" t="n"/>
      <c r="AF244" s="421" t="n"/>
      <c r="AG244" s="421" t="n"/>
      <c r="AH244" s="421" t="n"/>
      <c r="AI244" s="421" t="n"/>
      <c r="AJ244" s="421" t="n"/>
      <c r="AK244" s="421" t="n"/>
      <c r="AL244" s="452" t="n"/>
      <c r="AM244" s="452" t="n"/>
      <c r="AN244" s="452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54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  <c r="Y245" s="421" t="n"/>
      <c r="Z245" s="421" t="n"/>
      <c r="AA245" s="421" t="n"/>
      <c r="AB245" s="421" t="n"/>
      <c r="AC245" s="421" t="n"/>
      <c r="AD245" s="421" t="n"/>
      <c r="AE245" s="421" t="n"/>
      <c r="AF245" s="421" t="n"/>
      <c r="AG245" s="421" t="n"/>
      <c r="AH245" s="421" t="n"/>
      <c r="AI245" s="421" t="n"/>
      <c r="AJ245" s="421" t="n"/>
      <c r="AK245" s="421" t="n"/>
      <c r="AL245" s="452" t="n"/>
      <c r="AM245" s="452" t="n"/>
      <c r="AN245" s="452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54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  <c r="Y246" s="421" t="n"/>
      <c r="Z246" s="421" t="n"/>
      <c r="AA246" s="421" t="n"/>
      <c r="AB246" s="421" t="n"/>
      <c r="AC246" s="421" t="n"/>
      <c r="AD246" s="421" t="n"/>
      <c r="AE246" s="421" t="n"/>
      <c r="AF246" s="421" t="n"/>
      <c r="AG246" s="421" t="n"/>
      <c r="AH246" s="421" t="n"/>
      <c r="AI246" s="421" t="n"/>
      <c r="AJ246" s="421" t="n"/>
      <c r="AK246" s="421" t="n"/>
      <c r="AL246" s="452" t="n"/>
      <c r="AM246" s="452" t="n"/>
      <c r="AN246" s="452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54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  <c r="Y247" s="421" t="n"/>
      <c r="Z247" s="421" t="n"/>
      <c r="AA247" s="421" t="n"/>
      <c r="AB247" s="421" t="n"/>
      <c r="AC247" s="421" t="n"/>
      <c r="AD247" s="421" t="n"/>
      <c r="AE247" s="421" t="n"/>
      <c r="AF247" s="421" t="n"/>
      <c r="AG247" s="421" t="n"/>
      <c r="AH247" s="421" t="n"/>
      <c r="AI247" s="421" t="n"/>
      <c r="AJ247" s="421" t="n"/>
      <c r="AK247" s="421" t="n"/>
      <c r="AL247" s="452" t="n"/>
      <c r="AM247" s="452" t="n"/>
      <c r="AN247" s="452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54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  <c r="Y248" s="421" t="n"/>
      <c r="Z248" s="421" t="n"/>
      <c r="AA248" s="421" t="n"/>
      <c r="AB248" s="421" t="n"/>
      <c r="AC248" s="421" t="n"/>
      <c r="AD248" s="421" t="n"/>
      <c r="AE248" s="421" t="n"/>
      <c r="AF248" s="421" t="n"/>
      <c r="AG248" s="421" t="n"/>
      <c r="AH248" s="421" t="n"/>
      <c r="AI248" s="421" t="n"/>
      <c r="AJ248" s="421" t="n"/>
      <c r="AK248" s="421" t="n"/>
      <c r="AL248" s="452" t="n"/>
      <c r="AM248" s="452" t="n"/>
      <c r="AN248" s="452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54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  <c r="Y249" s="421" t="n"/>
      <c r="Z249" s="421" t="n"/>
      <c r="AA249" s="421" t="n"/>
      <c r="AB249" s="421" t="n"/>
      <c r="AC249" s="421" t="n"/>
      <c r="AD249" s="421" t="n"/>
      <c r="AE249" s="421" t="n"/>
      <c r="AF249" s="421" t="n"/>
      <c r="AG249" s="421" t="n"/>
      <c r="AH249" s="421" t="n"/>
      <c r="AI249" s="421" t="n"/>
      <c r="AJ249" s="421" t="n"/>
      <c r="AK249" s="421" t="n"/>
      <c r="AL249" s="452" t="n"/>
      <c r="AM249" s="452" t="n"/>
      <c r="AN249" s="452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54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  <c r="Y250" s="421" t="n"/>
      <c r="Z250" s="421" t="n"/>
      <c r="AA250" s="421" t="n"/>
      <c r="AB250" s="421" t="n"/>
      <c r="AC250" s="421" t="n"/>
      <c r="AD250" s="421" t="n"/>
      <c r="AE250" s="421" t="n"/>
      <c r="AF250" s="421" t="n"/>
      <c r="AG250" s="421" t="n"/>
      <c r="AH250" s="421" t="n"/>
      <c r="AI250" s="421" t="n"/>
      <c r="AJ250" s="421" t="n"/>
      <c r="AK250" s="421" t="n"/>
      <c r="AL250" s="452" t="n"/>
      <c r="AM250" s="452" t="n"/>
      <c r="AN250" s="452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  <c r="Y251" s="421" t="n"/>
      <c r="Z251" s="421" t="n"/>
      <c r="AA251" s="421" t="n"/>
      <c r="AB251" s="421" t="n"/>
      <c r="AC251" s="421" t="n"/>
      <c r="AD251" s="421" t="n"/>
      <c r="AE251" s="421" t="n"/>
      <c r="AF251" s="421" t="n"/>
      <c r="AG251" s="421" t="n"/>
      <c r="AH251" s="421" t="n"/>
      <c r="AI251" s="421" t="n"/>
      <c r="AJ251" s="421" t="n"/>
      <c r="AK251" s="421" t="n"/>
      <c r="AL251" s="452" t="n"/>
      <c r="AM251" s="452" t="n"/>
      <c r="AN251" s="452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  <c r="Y252" s="421" t="n"/>
      <c r="Z252" s="421" t="n"/>
      <c r="AA252" s="421" t="n"/>
      <c r="AB252" s="421" t="n"/>
      <c r="AC252" s="421" t="n"/>
      <c r="AD252" s="421" t="n"/>
      <c r="AE252" s="421" t="n"/>
      <c r="AF252" s="421" t="n"/>
      <c r="AG252" s="421" t="n"/>
      <c r="AH252" s="421" t="n"/>
      <c r="AI252" s="421" t="n"/>
      <c r="AJ252" s="421" t="n"/>
      <c r="AK252" s="421" t="n"/>
      <c r="AL252" s="452" t="n"/>
      <c r="AM252" s="452" t="n"/>
      <c r="AN252" s="452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  <c r="Y253" s="421" t="n"/>
      <c r="Z253" s="421" t="n"/>
      <c r="AA253" s="421" t="n"/>
      <c r="AB253" s="421" t="n"/>
      <c r="AC253" s="421" t="n"/>
      <c r="AD253" s="421" t="n"/>
      <c r="AE253" s="421" t="n"/>
      <c r="AF253" s="421" t="n"/>
      <c r="AG253" s="421" t="n"/>
      <c r="AH253" s="421" t="n"/>
      <c r="AI253" s="421" t="n"/>
      <c r="AJ253" s="421" t="n"/>
      <c r="AK253" s="421" t="n"/>
      <c r="AL253" s="452" t="n"/>
      <c r="AM253" s="452" t="n"/>
      <c r="AN253" s="452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  <c r="Y254" s="421" t="n"/>
      <c r="Z254" s="421" t="n"/>
      <c r="AA254" s="421" t="n"/>
      <c r="AB254" s="421" t="n"/>
      <c r="AC254" s="421" t="n"/>
      <c r="AD254" s="421" t="n"/>
      <c r="AE254" s="421" t="n"/>
      <c r="AF254" s="421" t="n"/>
      <c r="AG254" s="421" t="n"/>
      <c r="AH254" s="421" t="n"/>
      <c r="AI254" s="421" t="n"/>
      <c r="AJ254" s="421" t="n"/>
      <c r="AK254" s="421" t="n"/>
      <c r="AL254" s="452" t="n"/>
      <c r="AM254" s="452" t="n"/>
      <c r="AN254" s="452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  <c r="Y255" s="421" t="n"/>
      <c r="Z255" s="421" t="n"/>
      <c r="AA255" s="421" t="n"/>
      <c r="AB255" s="421" t="n"/>
      <c r="AC255" s="421" t="n"/>
      <c r="AD255" s="421" t="n"/>
      <c r="AE255" s="421" t="n"/>
      <c r="AF255" s="421" t="n"/>
      <c r="AG255" s="421" t="n"/>
      <c r="AH255" s="421" t="n"/>
      <c r="AI255" s="421" t="n"/>
      <c r="AJ255" s="421" t="n"/>
      <c r="AK255" s="421" t="n"/>
      <c r="AL255" s="452" t="n"/>
      <c r="AM255" s="452" t="n"/>
      <c r="AN255" s="452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  <c r="Y256" s="421" t="n"/>
      <c r="Z256" s="421" t="n"/>
      <c r="AA256" s="421" t="n"/>
      <c r="AB256" s="421" t="n"/>
      <c r="AC256" s="421" t="n"/>
      <c r="AD256" s="421" t="n"/>
      <c r="AE256" s="421" t="n"/>
      <c r="AF256" s="421" t="n"/>
      <c r="AG256" s="421" t="n"/>
      <c r="AH256" s="421" t="n"/>
      <c r="AI256" s="421" t="n"/>
      <c r="AJ256" s="421" t="n"/>
      <c r="AK256" s="421" t="n"/>
      <c r="AL256" s="452" t="n"/>
      <c r="AM256" s="452" t="n"/>
      <c r="AN256" s="452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  <c r="Y257" s="421" t="n"/>
      <c r="Z257" s="421" t="n"/>
      <c r="AA257" s="421" t="n"/>
      <c r="AB257" s="421" t="n"/>
      <c r="AC257" s="421" t="n"/>
      <c r="AD257" s="421" t="n"/>
      <c r="AE257" s="421" t="n"/>
      <c r="AF257" s="421" t="n"/>
      <c r="AG257" s="421" t="n"/>
      <c r="AH257" s="421" t="n"/>
      <c r="AI257" s="421" t="n"/>
      <c r="AJ257" s="421" t="n"/>
      <c r="AK257" s="421" t="n"/>
      <c r="AL257" s="452" t="n"/>
      <c r="AM257" s="452" t="n"/>
      <c r="AN257" s="452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  <c r="Y258" s="421" t="n"/>
      <c r="Z258" s="421" t="n"/>
      <c r="AA258" s="421" t="n"/>
      <c r="AB258" s="421" t="n"/>
      <c r="AC258" s="421" t="n"/>
      <c r="AD258" s="421" t="n"/>
      <c r="AE258" s="421" t="n"/>
      <c r="AF258" s="421" t="n"/>
      <c r="AG258" s="421" t="n"/>
      <c r="AH258" s="421" t="n"/>
      <c r="AI258" s="421" t="n"/>
      <c r="AJ258" s="421" t="n"/>
      <c r="AK258" s="421" t="n"/>
      <c r="AL258" s="452" t="n"/>
      <c r="AM258" s="452" t="n"/>
      <c r="AN258" s="452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  <c r="Y259" s="421" t="n"/>
      <c r="Z259" s="421" t="n"/>
      <c r="AA259" s="421" t="n"/>
      <c r="AB259" s="421" t="n"/>
      <c r="AC259" s="421" t="n"/>
      <c r="AD259" s="421" t="n"/>
      <c r="AE259" s="421" t="n"/>
      <c r="AF259" s="421" t="n"/>
      <c r="AG259" s="421" t="n"/>
      <c r="AH259" s="421" t="n"/>
      <c r="AI259" s="421" t="n"/>
      <c r="AJ259" s="421" t="n"/>
      <c r="AK259" s="421" t="n"/>
      <c r="AL259" s="452" t="n"/>
      <c r="AM259" s="452" t="n"/>
      <c r="AN259" s="452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  <c r="Y260" s="421" t="n"/>
      <c r="Z260" s="421" t="n"/>
      <c r="AA260" s="421" t="n"/>
      <c r="AB260" s="421" t="n"/>
      <c r="AC260" s="421" t="n"/>
      <c r="AD260" s="421" t="n"/>
      <c r="AE260" s="421" t="n"/>
      <c r="AF260" s="421" t="n"/>
      <c r="AG260" s="421" t="n"/>
      <c r="AH260" s="421" t="n"/>
      <c r="AI260" s="421" t="n"/>
      <c r="AJ260" s="421" t="n"/>
      <c r="AK260" s="421" t="n"/>
      <c r="AL260" s="452" t="n"/>
      <c r="AM260" s="452" t="n"/>
      <c r="AN260" s="452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  <c r="Y261" s="421" t="n"/>
      <c r="Z261" s="421" t="n"/>
      <c r="AA261" s="421" t="n"/>
      <c r="AB261" s="421" t="n"/>
      <c r="AC261" s="421" t="n"/>
      <c r="AD261" s="421" t="n"/>
      <c r="AE261" s="421" t="n"/>
      <c r="AF261" s="421" t="n"/>
      <c r="AG261" s="421" t="n"/>
      <c r="AH261" s="421" t="n"/>
      <c r="AI261" s="421" t="n"/>
      <c r="AJ261" s="421" t="n"/>
      <c r="AK261" s="421" t="n"/>
      <c r="AL261" s="452" t="n"/>
      <c r="AM261" s="452" t="n"/>
      <c r="AN261" s="452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  <c r="Y262" s="421" t="n"/>
      <c r="Z262" s="421" t="n"/>
      <c r="AA262" s="421" t="n"/>
      <c r="AB262" s="421" t="n"/>
      <c r="AC262" s="421" t="n"/>
      <c r="AD262" s="421" t="n"/>
      <c r="AE262" s="421" t="n"/>
      <c r="AF262" s="421" t="n"/>
      <c r="AG262" s="421" t="n"/>
      <c r="AH262" s="421" t="n"/>
      <c r="AI262" s="421" t="n"/>
      <c r="AJ262" s="421" t="n"/>
      <c r="AK262" s="421" t="n"/>
      <c r="AL262" s="452" t="n"/>
      <c r="AM262" s="452" t="n"/>
      <c r="AN262" s="452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  <c r="Y263" s="421" t="n"/>
      <c r="Z263" s="421" t="n"/>
      <c r="AA263" s="421" t="n"/>
      <c r="AB263" s="421" t="n"/>
      <c r="AC263" s="421" t="n"/>
      <c r="AD263" s="421" t="n"/>
      <c r="AE263" s="421" t="n"/>
      <c r="AF263" s="421" t="n"/>
      <c r="AG263" s="421" t="n"/>
      <c r="AH263" s="421" t="n"/>
      <c r="AI263" s="421" t="n"/>
      <c r="AJ263" s="421" t="n"/>
      <c r="AK263" s="421" t="n"/>
      <c r="AL263" s="452" t="n"/>
      <c r="AM263" s="452" t="n"/>
      <c r="AN263" s="452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  <c r="Y264" s="421" t="n"/>
      <c r="Z264" s="421" t="n"/>
      <c r="AA264" s="421" t="n"/>
      <c r="AB264" s="421" t="n"/>
      <c r="AC264" s="421" t="n"/>
      <c r="AD264" s="421" t="n"/>
      <c r="AE264" s="421" t="n"/>
      <c r="AF264" s="421" t="n"/>
      <c r="AG264" s="421" t="n"/>
      <c r="AH264" s="421" t="n"/>
      <c r="AI264" s="421" t="n"/>
      <c r="AJ264" s="421" t="n"/>
      <c r="AK264" s="421" t="n"/>
      <c r="AL264" s="452" t="n"/>
      <c r="AM264" s="452" t="n"/>
      <c r="AN264" s="452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  <c r="Y265" s="421" t="n"/>
      <c r="Z265" s="421" t="n"/>
      <c r="AA265" s="421" t="n"/>
      <c r="AB265" s="421" t="n"/>
      <c r="AC265" s="421" t="n"/>
      <c r="AD265" s="421" t="n"/>
      <c r="AE265" s="421" t="n"/>
      <c r="AF265" s="421" t="n"/>
      <c r="AG265" s="421" t="n"/>
      <c r="AH265" s="421" t="n"/>
      <c r="AI265" s="421" t="n"/>
      <c r="AJ265" s="421" t="n"/>
      <c r="AK265" s="421" t="n"/>
      <c r="AL265" s="452" t="n"/>
      <c r="AM265" s="452" t="n"/>
      <c r="AN265" s="452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  <c r="Y266" s="421" t="n"/>
      <c r="Z266" s="421" t="n"/>
      <c r="AA266" s="421" t="n"/>
      <c r="AB266" s="421" t="n"/>
      <c r="AC266" s="421" t="n"/>
      <c r="AD266" s="421" t="n"/>
      <c r="AE266" s="421" t="n"/>
      <c r="AF266" s="421" t="n"/>
      <c r="AG266" s="421" t="n"/>
      <c r="AH266" s="421" t="n"/>
      <c r="AI266" s="421" t="n"/>
      <c r="AJ266" s="421" t="n"/>
      <c r="AK266" s="421" t="n"/>
      <c r="AL266" s="452" t="n"/>
      <c r="AM266" s="452" t="n"/>
      <c r="AN266" s="452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  <c r="Y267" s="421" t="n"/>
      <c r="Z267" s="421" t="n"/>
      <c r="AA267" s="421" t="n"/>
      <c r="AB267" s="421" t="n"/>
      <c r="AC267" s="421" t="n"/>
      <c r="AD267" s="421" t="n"/>
      <c r="AE267" s="421" t="n"/>
      <c r="AF267" s="421" t="n"/>
      <c r="AG267" s="421" t="n"/>
      <c r="AH267" s="421" t="n"/>
      <c r="AI267" s="421" t="n"/>
      <c r="AJ267" s="421" t="n"/>
      <c r="AK267" s="421" t="n"/>
      <c r="AL267" s="452" t="n"/>
      <c r="AM267" s="452" t="n"/>
      <c r="AN267" s="452" t="n"/>
    </row>
    <row r="268">
      <c r="A268" s="421" t="n"/>
      <c r="B268" s="421" t="n"/>
      <c r="C268" s="421" t="n"/>
      <c r="D268" s="421" t="n"/>
      <c r="E268" s="421" t="n"/>
      <c r="F268" s="421" t="n"/>
      <c r="G268" s="421" t="n"/>
      <c r="H268" s="421" t="n"/>
      <c r="I268" s="421" t="n"/>
      <c r="J268" s="421" t="n"/>
      <c r="K268" s="487" t="n"/>
      <c r="L268" s="421" t="n"/>
      <c r="M268" s="421" t="n"/>
      <c r="N268" s="421" t="n"/>
      <c r="O268" s="421" t="n"/>
      <c r="P268" s="421" t="n"/>
      <c r="Q268" s="421" t="n"/>
      <c r="R268" s="421" t="n"/>
      <c r="S268" s="421" t="n"/>
      <c r="T268" s="421" t="n"/>
      <c r="U268" s="421" t="n"/>
      <c r="V268" s="421" t="n"/>
      <c r="W268" s="421" t="n"/>
      <c r="X268" s="421" t="n"/>
      <c r="Y268" s="421" t="n"/>
      <c r="Z268" s="421" t="n"/>
      <c r="AA268" s="421" t="n"/>
      <c r="AB268" s="421" t="n"/>
      <c r="AC268" s="421" t="n"/>
      <c r="AD268" s="421" t="n"/>
      <c r="AE268" s="421" t="n"/>
      <c r="AF268" s="421" t="n"/>
      <c r="AG268" s="421" t="n"/>
      <c r="AH268" s="421" t="n"/>
      <c r="AI268" s="421" t="n"/>
      <c r="AJ268" s="421" t="n"/>
      <c r="AK268" s="421" t="n"/>
      <c r="AL268" s="452" t="n"/>
      <c r="AM268" s="452" t="n"/>
      <c r="AN268" s="452" t="n"/>
    </row>
    <row r="269">
      <c r="A269" s="421" t="n"/>
      <c r="B269" s="421" t="n"/>
      <c r="C269" s="421" t="n"/>
      <c r="D269" s="421" t="n"/>
      <c r="E269" s="421" t="n"/>
      <c r="F269" s="421" t="n"/>
      <c r="G269" s="421" t="n"/>
      <c r="H269" s="421" t="n"/>
      <c r="I269" s="421" t="n"/>
      <c r="J269" s="421" t="n"/>
      <c r="K269" s="487" t="n"/>
      <c r="L269" s="421" t="n"/>
      <c r="M269" s="421" t="n"/>
      <c r="N269" s="421" t="n"/>
      <c r="O269" s="421" t="n"/>
      <c r="P269" s="421" t="n"/>
      <c r="Q269" s="421" t="n"/>
      <c r="R269" s="421" t="n"/>
      <c r="S269" s="421" t="n"/>
      <c r="T269" s="421" t="n"/>
      <c r="U269" s="421" t="n"/>
      <c r="V269" s="421" t="n"/>
      <c r="W269" s="421" t="n"/>
      <c r="X269" s="421" t="n"/>
      <c r="Y269" s="421" t="n"/>
      <c r="Z269" s="421" t="n"/>
      <c r="AA269" s="421" t="n"/>
      <c r="AB269" s="421" t="n"/>
      <c r="AC269" s="421" t="n"/>
      <c r="AD269" s="421" t="n"/>
      <c r="AE269" s="421" t="n"/>
      <c r="AF269" s="421" t="n"/>
      <c r="AG269" s="421" t="n"/>
      <c r="AH269" s="421" t="n"/>
      <c r="AI269" s="421" t="n"/>
      <c r="AJ269" s="421" t="n"/>
      <c r="AK269" s="421" t="n"/>
      <c r="AL269" s="452" t="n"/>
      <c r="AM269" s="452" t="n"/>
      <c r="AN269" s="452" t="n"/>
    </row>
    <row r="270">
      <c r="A270" s="421" t="n"/>
      <c r="B270" s="421" t="n"/>
      <c r="C270" s="421" t="n"/>
      <c r="D270" s="421" t="n"/>
      <c r="E270" s="421" t="n"/>
      <c r="F270" s="421" t="n"/>
      <c r="G270" s="421" t="n"/>
      <c r="H270" s="421" t="n"/>
      <c r="I270" s="421" t="n"/>
      <c r="J270" s="421" t="n"/>
      <c r="K270" s="487" t="n"/>
      <c r="L270" s="421" t="n"/>
      <c r="M270" s="421" t="n"/>
      <c r="N270" s="421" t="n"/>
      <c r="O270" s="421" t="n"/>
      <c r="P270" s="421" t="n"/>
      <c r="Q270" s="421" t="n"/>
      <c r="R270" s="421" t="n"/>
      <c r="S270" s="421" t="n"/>
      <c r="T270" s="421" t="n"/>
      <c r="U270" s="421" t="n"/>
      <c r="V270" s="421" t="n"/>
      <c r="W270" s="421" t="n"/>
      <c r="X270" s="421" t="n"/>
      <c r="Y270" s="421" t="n"/>
      <c r="Z270" s="421" t="n"/>
      <c r="AA270" s="421" t="n"/>
      <c r="AB270" s="421" t="n"/>
      <c r="AC270" s="421" t="n"/>
      <c r="AD270" s="421" t="n"/>
      <c r="AE270" s="421" t="n"/>
      <c r="AF270" s="421" t="n"/>
      <c r="AG270" s="421" t="n"/>
      <c r="AH270" s="421" t="n"/>
      <c r="AI270" s="421" t="n"/>
      <c r="AJ270" s="421" t="n"/>
      <c r="AK270" s="421" t="n"/>
      <c r="AL270" s="452" t="n"/>
      <c r="AM270" s="452" t="n"/>
      <c r="AN270" s="452" t="n"/>
    </row>
    <row r="271">
      <c r="A271" s="421" t="n"/>
      <c r="B271" s="421" t="n"/>
      <c r="C271" s="421" t="n"/>
      <c r="D271" s="421" t="n"/>
      <c r="E271" s="421" t="n"/>
      <c r="F271" s="421" t="n"/>
      <c r="G271" s="421" t="n"/>
      <c r="H271" s="421" t="n"/>
      <c r="I271" s="421" t="n"/>
      <c r="J271" s="421" t="n"/>
      <c r="K271" s="487" t="n"/>
      <c r="L271" s="421" t="n"/>
      <c r="M271" s="421" t="n"/>
      <c r="N271" s="421" t="n"/>
      <c r="O271" s="421" t="n"/>
      <c r="P271" s="421" t="n"/>
      <c r="Q271" s="421" t="n"/>
      <c r="R271" s="421" t="n"/>
      <c r="S271" s="421" t="n"/>
      <c r="T271" s="421" t="n"/>
      <c r="U271" s="421" t="n"/>
      <c r="V271" s="421" t="n"/>
      <c r="W271" s="421" t="n"/>
      <c r="X271" s="421" t="n"/>
      <c r="Y271" s="421" t="n"/>
      <c r="Z271" s="421" t="n"/>
      <c r="AA271" s="421" t="n"/>
      <c r="AB271" s="421" t="n"/>
      <c r="AC271" s="421" t="n"/>
      <c r="AD271" s="421" t="n"/>
      <c r="AE271" s="421" t="n"/>
      <c r="AF271" s="421" t="n"/>
      <c r="AG271" s="421" t="n"/>
      <c r="AH271" s="421" t="n"/>
      <c r="AI271" s="421" t="n"/>
      <c r="AJ271" s="421" t="n"/>
      <c r="AK271" s="421" t="n"/>
      <c r="AL271" s="452" t="n"/>
      <c r="AM271" s="452" t="n"/>
      <c r="AN271" s="452" t="n"/>
    </row>
    <row r="272">
      <c r="A272" s="421" t="n"/>
      <c r="B272" s="421" t="n"/>
      <c r="C272" s="421" t="n"/>
      <c r="D272" s="421" t="n"/>
      <c r="E272" s="421" t="n"/>
      <c r="F272" s="421" t="n"/>
      <c r="G272" s="421" t="n"/>
      <c r="H272" s="421" t="n"/>
      <c r="I272" s="421" t="n"/>
      <c r="J272" s="421" t="n"/>
      <c r="K272" s="487" t="n"/>
      <c r="L272" s="421" t="n"/>
      <c r="M272" s="421" t="n"/>
      <c r="N272" s="421" t="n"/>
      <c r="O272" s="421" t="n"/>
      <c r="P272" s="421" t="n"/>
      <c r="Q272" s="421" t="n"/>
      <c r="R272" s="421" t="n"/>
      <c r="S272" s="421" t="n"/>
      <c r="T272" s="421" t="n"/>
      <c r="U272" s="421" t="n"/>
      <c r="V272" s="421" t="n"/>
      <c r="W272" s="421" t="n"/>
      <c r="X272" s="421" t="n"/>
      <c r="Y272" s="421" t="n"/>
      <c r="Z272" s="421" t="n"/>
      <c r="AA272" s="421" t="n"/>
      <c r="AB272" s="421" t="n"/>
      <c r="AC272" s="421" t="n"/>
      <c r="AD272" s="421" t="n"/>
      <c r="AE272" s="421" t="n"/>
      <c r="AF272" s="421" t="n"/>
      <c r="AG272" s="421" t="n"/>
      <c r="AH272" s="421" t="n"/>
      <c r="AI272" s="421" t="n"/>
      <c r="AJ272" s="421" t="n"/>
      <c r="AK272" s="421" t="n"/>
      <c r="AL272" s="452" t="n"/>
      <c r="AM272" s="452" t="n"/>
      <c r="AN272" s="452" t="n"/>
    </row>
    <row r="273">
      <c r="A273" s="421" t="n"/>
      <c r="B273" s="421" t="n"/>
      <c r="C273" s="421" t="n"/>
      <c r="D273" s="421" t="n"/>
      <c r="E273" s="421" t="n"/>
      <c r="F273" s="421" t="n"/>
      <c r="G273" s="421" t="n"/>
      <c r="H273" s="421" t="n"/>
      <c r="I273" s="421" t="n"/>
      <c r="J273" s="421" t="n"/>
      <c r="K273" s="487" t="n"/>
      <c r="L273" s="421" t="n"/>
      <c r="M273" s="421" t="n"/>
      <c r="N273" s="421" t="n"/>
      <c r="O273" s="421" t="n"/>
      <c r="P273" s="421" t="n"/>
      <c r="Q273" s="421" t="n"/>
      <c r="R273" s="421" t="n"/>
      <c r="S273" s="421" t="n"/>
      <c r="T273" s="421" t="n"/>
      <c r="U273" s="421" t="n"/>
      <c r="V273" s="421" t="n"/>
      <c r="W273" s="421" t="n"/>
      <c r="X273" s="421" t="n"/>
      <c r="Y273" s="421" t="n"/>
      <c r="Z273" s="421" t="n"/>
      <c r="AA273" s="421" t="n"/>
      <c r="AB273" s="421" t="n"/>
      <c r="AC273" s="421" t="n"/>
      <c r="AD273" s="421" t="n"/>
      <c r="AE273" s="421" t="n"/>
      <c r="AF273" s="421" t="n"/>
      <c r="AG273" s="421" t="n"/>
      <c r="AH273" s="421" t="n"/>
      <c r="AI273" s="421" t="n"/>
      <c r="AJ273" s="421" t="n"/>
      <c r="AK273" s="421" t="n"/>
      <c r="AL273" s="452" t="n"/>
      <c r="AM273" s="452" t="n"/>
      <c r="AN273" s="452" t="n"/>
    </row>
    <row r="274">
      <c r="A274" s="421" t="n"/>
      <c r="B274" s="421" t="n"/>
      <c r="C274" s="421" t="n"/>
      <c r="D274" s="421" t="n"/>
      <c r="E274" s="421" t="n"/>
      <c r="F274" s="421" t="n"/>
      <c r="G274" s="421" t="n"/>
      <c r="H274" s="421" t="n"/>
      <c r="I274" s="421" t="n"/>
      <c r="J274" s="421" t="n"/>
      <c r="K274" s="487" t="n"/>
      <c r="L274" s="421" t="n"/>
      <c r="M274" s="421" t="n"/>
      <c r="N274" s="421" t="n"/>
      <c r="O274" s="421" t="n"/>
      <c r="P274" s="421" t="n"/>
      <c r="Q274" s="421" t="n"/>
      <c r="R274" s="421" t="n"/>
      <c r="S274" s="421" t="n"/>
      <c r="T274" s="421" t="n"/>
      <c r="U274" s="421" t="n"/>
      <c r="V274" s="421" t="n"/>
      <c r="W274" s="421" t="n"/>
      <c r="X274" s="421" t="n"/>
      <c r="Y274" s="421" t="n"/>
      <c r="Z274" s="421" t="n"/>
      <c r="AA274" s="421" t="n"/>
      <c r="AB274" s="421" t="n"/>
      <c r="AC274" s="421" t="n"/>
      <c r="AD274" s="421" t="n"/>
      <c r="AE274" s="421" t="n"/>
      <c r="AF274" s="421" t="n"/>
      <c r="AG274" s="421" t="n"/>
      <c r="AH274" s="421" t="n"/>
      <c r="AI274" s="421" t="n"/>
      <c r="AJ274" s="421" t="n"/>
      <c r="AK274" s="421" t="n"/>
      <c r="AL274" s="452" t="n"/>
      <c r="AM274" s="452" t="n"/>
      <c r="AN274" s="452" t="n"/>
    </row>
    <row r="275">
      <c r="A275" s="421" t="n"/>
      <c r="B275" s="421" t="n"/>
      <c r="C275" s="421" t="n"/>
      <c r="D275" s="421" t="n"/>
      <c r="E275" s="421" t="n"/>
      <c r="F275" s="421" t="n"/>
      <c r="G275" s="421" t="n"/>
      <c r="H275" s="421" t="n"/>
      <c r="I275" s="421" t="n"/>
      <c r="J275" s="421" t="n"/>
      <c r="K275" s="487" t="n"/>
      <c r="L275" s="421" t="n"/>
      <c r="M275" s="421" t="n"/>
      <c r="N275" s="421" t="n"/>
      <c r="O275" s="421" t="n"/>
      <c r="P275" s="421" t="n"/>
      <c r="Q275" s="421" t="n"/>
      <c r="R275" s="421" t="n"/>
      <c r="S275" s="421" t="n"/>
      <c r="T275" s="421" t="n"/>
      <c r="U275" s="421" t="n"/>
      <c r="V275" s="421" t="n"/>
      <c r="W275" s="421" t="n"/>
      <c r="X275" s="421" t="n"/>
      <c r="Y275" s="421" t="n"/>
      <c r="Z275" s="421" t="n"/>
      <c r="AA275" s="421" t="n"/>
      <c r="AB275" s="421" t="n"/>
      <c r="AC275" s="421" t="n"/>
      <c r="AD275" s="421" t="n"/>
      <c r="AE275" s="421" t="n"/>
      <c r="AF275" s="421" t="n"/>
      <c r="AG275" s="421" t="n"/>
      <c r="AH275" s="421" t="n"/>
      <c r="AI275" s="421" t="n"/>
      <c r="AJ275" s="421" t="n"/>
      <c r="AK275" s="421" t="n"/>
      <c r="AL275" s="452" t="n"/>
      <c r="AM275" s="452" t="n"/>
      <c r="AN275" s="452" t="n"/>
    </row>
    <row r="276">
      <c r="A276" s="421" t="n"/>
      <c r="B276" s="421" t="n"/>
      <c r="C276" s="421" t="n"/>
      <c r="D276" s="421" t="n"/>
      <c r="E276" s="421" t="n"/>
      <c r="F276" s="421" t="n"/>
      <c r="G276" s="421" t="n"/>
      <c r="H276" s="421" t="n"/>
      <c r="I276" s="421" t="n"/>
      <c r="J276" s="421" t="n"/>
      <c r="K276" s="487" t="n"/>
      <c r="L276" s="421" t="n"/>
      <c r="M276" s="421" t="n"/>
      <c r="N276" s="421" t="n"/>
      <c r="O276" s="421" t="n"/>
      <c r="P276" s="421" t="n"/>
      <c r="Q276" s="421" t="n"/>
      <c r="R276" s="421" t="n"/>
      <c r="S276" s="421" t="n"/>
      <c r="T276" s="421" t="n"/>
      <c r="U276" s="421" t="n"/>
      <c r="V276" s="421" t="n"/>
      <c r="W276" s="421" t="n"/>
      <c r="X276" s="421" t="n"/>
      <c r="Y276" s="421" t="n"/>
      <c r="Z276" s="421" t="n"/>
      <c r="AA276" s="421" t="n"/>
      <c r="AB276" s="421" t="n"/>
      <c r="AC276" s="421" t="n"/>
      <c r="AD276" s="421" t="n"/>
      <c r="AE276" s="421" t="n"/>
      <c r="AF276" s="421" t="n"/>
      <c r="AG276" s="421" t="n"/>
      <c r="AH276" s="421" t="n"/>
      <c r="AI276" s="421" t="n"/>
      <c r="AJ276" s="421" t="n"/>
      <c r="AK276" s="421" t="n"/>
      <c r="AL276" s="452" t="n"/>
      <c r="AM276" s="452" t="n"/>
      <c r="AN276" s="452" t="n"/>
    </row>
    <row r="277">
      <c r="A277" s="421" t="n"/>
      <c r="B277" s="421" t="n"/>
      <c r="C277" s="421" t="n"/>
      <c r="D277" s="421" t="n"/>
      <c r="E277" s="421" t="n"/>
      <c r="F277" s="421" t="n"/>
      <c r="G277" s="421" t="n"/>
      <c r="H277" s="421" t="n"/>
      <c r="I277" s="421" t="n"/>
      <c r="J277" s="421" t="n"/>
      <c r="K277" s="487" t="n"/>
      <c r="L277" s="421" t="n"/>
      <c r="M277" s="421" t="n"/>
      <c r="N277" s="421" t="n"/>
      <c r="O277" s="421" t="n"/>
      <c r="P277" s="421" t="n"/>
      <c r="Q277" s="421" t="n"/>
      <c r="R277" s="421" t="n"/>
      <c r="S277" s="421" t="n"/>
      <c r="T277" s="421" t="n"/>
      <c r="U277" s="421" t="n"/>
      <c r="V277" s="421" t="n"/>
      <c r="W277" s="421" t="n"/>
      <c r="X277" s="421" t="n"/>
      <c r="Y277" s="421" t="n"/>
      <c r="Z277" s="421" t="n"/>
      <c r="AA277" s="421" t="n"/>
      <c r="AB277" s="421" t="n"/>
      <c r="AC277" s="421" t="n"/>
      <c r="AD277" s="421" t="n"/>
      <c r="AE277" s="421" t="n"/>
      <c r="AF277" s="421" t="n"/>
      <c r="AG277" s="421" t="n"/>
      <c r="AH277" s="421" t="n"/>
      <c r="AI277" s="421" t="n"/>
      <c r="AJ277" s="421" t="n"/>
      <c r="AK277" s="421" t="n"/>
      <c r="AL277" s="452" t="n"/>
      <c r="AM277" s="452" t="n"/>
      <c r="AN277" s="452" t="n"/>
    </row>
    <row r="278">
      <c r="A278" s="421" t="n"/>
      <c r="B278" s="421" t="n"/>
      <c r="C278" s="421" t="n"/>
      <c r="D278" s="421" t="n"/>
      <c r="E278" s="421" t="n"/>
      <c r="F278" s="421" t="n"/>
      <c r="G278" s="421" t="n"/>
      <c r="H278" s="421" t="n"/>
      <c r="I278" s="421" t="n"/>
      <c r="J278" s="421" t="n"/>
      <c r="K278" s="487" t="n"/>
      <c r="L278" s="421" t="n"/>
      <c r="M278" s="421" t="n"/>
      <c r="N278" s="421" t="n"/>
      <c r="O278" s="421" t="n"/>
      <c r="P278" s="421" t="n"/>
      <c r="Q278" s="421" t="n"/>
      <c r="R278" s="421" t="n"/>
      <c r="S278" s="421" t="n"/>
      <c r="T278" s="421" t="n"/>
      <c r="U278" s="421" t="n"/>
      <c r="V278" s="421" t="n"/>
      <c r="W278" s="421" t="n"/>
      <c r="X278" s="421" t="n"/>
      <c r="Y278" s="421" t="n"/>
      <c r="Z278" s="421" t="n"/>
      <c r="AA278" s="421" t="n"/>
      <c r="AB278" s="421" t="n"/>
      <c r="AC278" s="421" t="n"/>
      <c r="AD278" s="421" t="n"/>
      <c r="AE278" s="421" t="n"/>
      <c r="AF278" s="421" t="n"/>
      <c r="AG278" s="421" t="n"/>
      <c r="AH278" s="421" t="n"/>
      <c r="AI278" s="421" t="n"/>
      <c r="AJ278" s="421" t="n"/>
      <c r="AK278" s="421" t="n"/>
      <c r="AL278" s="452" t="n"/>
      <c r="AM278" s="452" t="n"/>
      <c r="AN278" s="452" t="n"/>
    </row>
    <row r="279">
      <c r="A279" s="421" t="n"/>
      <c r="B279" s="421" t="n"/>
      <c r="C279" s="421" t="n"/>
      <c r="D279" s="421" t="n"/>
      <c r="E279" s="421" t="n"/>
      <c r="F279" s="421" t="n"/>
      <c r="G279" s="421" t="n"/>
      <c r="H279" s="421" t="n"/>
      <c r="I279" s="421" t="n"/>
      <c r="J279" s="421" t="n"/>
      <c r="K279" s="487" t="n"/>
      <c r="L279" s="421" t="n"/>
      <c r="M279" s="421" t="n"/>
      <c r="N279" s="421" t="n"/>
      <c r="O279" s="421" t="n"/>
      <c r="P279" s="421" t="n"/>
      <c r="Q279" s="421" t="n"/>
      <c r="R279" s="421" t="n"/>
      <c r="S279" s="421" t="n"/>
      <c r="T279" s="421" t="n"/>
      <c r="U279" s="421" t="n"/>
      <c r="V279" s="421" t="n"/>
      <c r="W279" s="421" t="n"/>
      <c r="X279" s="421" t="n"/>
      <c r="Y279" s="421" t="n"/>
      <c r="Z279" s="421" t="n"/>
      <c r="AA279" s="421" t="n"/>
      <c r="AB279" s="421" t="n"/>
      <c r="AC279" s="421" t="n"/>
      <c r="AD279" s="421" t="n"/>
      <c r="AE279" s="421" t="n"/>
      <c r="AF279" s="421" t="n"/>
      <c r="AG279" s="421" t="n"/>
      <c r="AH279" s="421" t="n"/>
      <c r="AI279" s="421" t="n"/>
      <c r="AJ279" s="421" t="n"/>
      <c r="AK279" s="421" t="n"/>
      <c r="AL279" s="452" t="n"/>
      <c r="AM279" s="452" t="n"/>
      <c r="AN279" s="452" t="n"/>
    </row>
    <row r="280">
      <c r="A280" s="421" t="n"/>
      <c r="B280" s="421" t="n"/>
      <c r="C280" s="421" t="n"/>
      <c r="D280" s="421" t="n"/>
      <c r="E280" s="421" t="n"/>
      <c r="F280" s="421" t="n"/>
      <c r="G280" s="421" t="n"/>
      <c r="H280" s="421" t="n"/>
      <c r="I280" s="421" t="n"/>
      <c r="J280" s="421" t="n"/>
      <c r="K280" s="487" t="n"/>
      <c r="L280" s="421" t="n"/>
      <c r="M280" s="421" t="n"/>
      <c r="N280" s="421" t="n"/>
      <c r="O280" s="421" t="n"/>
      <c r="P280" s="421" t="n"/>
      <c r="Q280" s="421" t="n"/>
      <c r="R280" s="421" t="n"/>
      <c r="S280" s="421" t="n"/>
      <c r="T280" s="421" t="n"/>
      <c r="U280" s="421" t="n"/>
      <c r="V280" s="421" t="n"/>
      <c r="W280" s="421" t="n"/>
      <c r="X280" s="421" t="n"/>
      <c r="Y280" s="421" t="n"/>
      <c r="Z280" s="421" t="n"/>
      <c r="AA280" s="421" t="n"/>
      <c r="AB280" s="421" t="n"/>
      <c r="AC280" s="421" t="n"/>
      <c r="AD280" s="421" t="n"/>
      <c r="AE280" s="421" t="n"/>
      <c r="AF280" s="421" t="n"/>
      <c r="AG280" s="421" t="n"/>
      <c r="AH280" s="421" t="n"/>
      <c r="AI280" s="421" t="n"/>
      <c r="AJ280" s="421" t="n"/>
      <c r="AK280" s="421" t="n"/>
      <c r="AL280" s="452" t="n"/>
      <c r="AM280" s="452" t="n"/>
      <c r="AN280" s="452" t="n"/>
    </row>
    <row r="281">
      <c r="A281" s="421" t="n"/>
      <c r="B281" s="421" t="n"/>
      <c r="C281" s="421" t="n"/>
      <c r="D281" s="421" t="n"/>
      <c r="E281" s="421" t="n"/>
      <c r="F281" s="421" t="n"/>
      <c r="G281" s="421" t="n"/>
      <c r="H281" s="421" t="n"/>
      <c r="I281" s="421" t="n"/>
      <c r="J281" s="421" t="n"/>
      <c r="K281" s="487" t="n"/>
      <c r="L281" s="421" t="n"/>
      <c r="M281" s="421" t="n"/>
      <c r="N281" s="421" t="n"/>
      <c r="O281" s="421" t="n"/>
      <c r="P281" s="421" t="n"/>
      <c r="Q281" s="421" t="n"/>
      <c r="R281" s="421" t="n"/>
      <c r="S281" s="421" t="n"/>
      <c r="T281" s="421" t="n"/>
      <c r="U281" s="421" t="n"/>
      <c r="V281" s="421" t="n"/>
      <c r="W281" s="421" t="n"/>
      <c r="X281" s="421" t="n"/>
      <c r="Y281" s="421" t="n"/>
      <c r="Z281" s="421" t="n"/>
      <c r="AA281" s="421" t="n"/>
      <c r="AB281" s="421" t="n"/>
      <c r="AC281" s="421" t="n"/>
      <c r="AD281" s="421" t="n"/>
      <c r="AE281" s="421" t="n"/>
      <c r="AF281" s="421" t="n"/>
      <c r="AG281" s="421" t="n"/>
      <c r="AH281" s="421" t="n"/>
      <c r="AI281" s="421" t="n"/>
      <c r="AJ281" s="421" t="n"/>
      <c r="AK281" s="421" t="n"/>
      <c r="AL281" s="452" t="n"/>
      <c r="AM281" s="452" t="n"/>
      <c r="AN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  <c r="AM355" s="452" t="n"/>
      <c r="AN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  <c r="AM356" s="452" t="n"/>
      <c r="AN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  <c r="AM357" s="452" t="n"/>
      <c r="AN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  <c r="AM358" s="452" t="n"/>
      <c r="AN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  <c r="AM359" s="452" t="n"/>
      <c r="AN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  <c r="AM360" s="452" t="n"/>
      <c r="AN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  <c r="AM361" s="452" t="n"/>
      <c r="AN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  <c r="AM362" s="452" t="n"/>
      <c r="AN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  <c r="AM363" s="452" t="n"/>
      <c r="AN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  <c r="AM364" s="452" t="n"/>
      <c r="AN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  <c r="AM365" s="452" t="n"/>
      <c r="AN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  <c r="AM366" s="452" t="n"/>
      <c r="AN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  <c r="AM367" s="452" t="n"/>
      <c r="AN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  <c r="AM368" s="452" t="n"/>
      <c r="AN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  <c r="AM369" s="452" t="n"/>
      <c r="AN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  <c r="AM370" s="452" t="n"/>
      <c r="AN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  <c r="AM371" s="452" t="n"/>
      <c r="AN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  <c r="AM372" s="452" t="n"/>
      <c r="AN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  <c r="AM373" s="452" t="n"/>
      <c r="AN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  <c r="AM374" s="452" t="n"/>
      <c r="AN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  <c r="AM375" s="452" t="n"/>
      <c r="AN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  <c r="AM376" s="452" t="n"/>
      <c r="AN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  <c r="AM377" s="452" t="n"/>
      <c r="AN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  <c r="AM378" s="452" t="n"/>
      <c r="AN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  <c r="AM379" s="452" t="n"/>
      <c r="AN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  <c r="AM380" s="452" t="n"/>
      <c r="AN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  <c r="AM381" s="452" t="n"/>
      <c r="AN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  <c r="AM382" s="452" t="n"/>
      <c r="AN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  <c r="AM383" s="452" t="n"/>
      <c r="AN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  <c r="AM384" s="452" t="n"/>
      <c r="AN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  <c r="AM385" s="452" t="n"/>
      <c r="AN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  <c r="AM386" s="452" t="n"/>
      <c r="AN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  <c r="AM387" s="452" t="n"/>
      <c r="AN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  <c r="AM388" s="452" t="n"/>
      <c r="AN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  <c r="AM389" s="452" t="n"/>
      <c r="AN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  <c r="AM390" s="452" t="n"/>
      <c r="AN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  <c r="AM391" s="452" t="n"/>
      <c r="AN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  <c r="AM392" s="452" t="n"/>
      <c r="AN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  <c r="AM393" s="452" t="n"/>
      <c r="AN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  <c r="AM394" s="452" t="n"/>
      <c r="AN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  <c r="AM395" s="452" t="n"/>
      <c r="AN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  <c r="AM396" s="452" t="n"/>
      <c r="AN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  <c r="AM397" s="452" t="n"/>
      <c r="AN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  <c r="AM398" s="452" t="n"/>
      <c r="AN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  <c r="AM399" s="452" t="n"/>
      <c r="AN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  <c r="AM400" s="452" t="n"/>
      <c r="AN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  <c r="AM401" s="452" t="n"/>
      <c r="AN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  <c r="AM402" s="452" t="n"/>
      <c r="AN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  <c r="AM403" s="452" t="n"/>
      <c r="AN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  <c r="AM404" s="452" t="n"/>
      <c r="AN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  <c r="AM405" s="452" t="n"/>
      <c r="AN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  <c r="AM406" s="452" t="n"/>
      <c r="AN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  <c r="AM407" s="452" t="n"/>
      <c r="AN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  <c r="AM408" s="452" t="n"/>
      <c r="AN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  <c r="AM409" s="452" t="n"/>
      <c r="AN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  <c r="AM410" s="452" t="n"/>
      <c r="AN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  <c r="AM411" s="452" t="n"/>
      <c r="AN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  <c r="AM412" s="452" t="n"/>
      <c r="AN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  <c r="AM413" s="452" t="n"/>
      <c r="AN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  <c r="AM414" s="452" t="n"/>
      <c r="AN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  <c r="AM415" s="452" t="n"/>
      <c r="AN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  <c r="AM416" s="452" t="n"/>
      <c r="AN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  <c r="AM417" s="452" t="n"/>
      <c r="AN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  <c r="AM418" s="452" t="n"/>
      <c r="AN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  <c r="AM419" s="452" t="n"/>
      <c r="AN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  <c r="AM420" s="452" t="n"/>
      <c r="AN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  <c r="AM421" s="452" t="n"/>
      <c r="AN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  <c r="AM422" s="452" t="n"/>
      <c r="AN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  <c r="AM423" s="452" t="n"/>
      <c r="AN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  <c r="AM424" s="452" t="n"/>
      <c r="AN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  <c r="AM425" s="452" t="n"/>
      <c r="AN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  <c r="AM426" s="452" t="n"/>
      <c r="AN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  <c r="AM427" s="452" t="n"/>
      <c r="AN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  <c r="AM428" s="452" t="n"/>
      <c r="AN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  <c r="AM429" s="452" t="n"/>
      <c r="AN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  <c r="AM430" s="452" t="n"/>
      <c r="AN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  <c r="AM431" s="452" t="n"/>
      <c r="AN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  <c r="AM432" s="452" t="n"/>
      <c r="AN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  <c r="AM433" s="452" t="n"/>
      <c r="AN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  <c r="AM434" s="452" t="n"/>
      <c r="AN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  <c r="AM435" s="452" t="n"/>
      <c r="AN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  <c r="AM436" s="452" t="n"/>
      <c r="AN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  <c r="AM437" s="452" t="n"/>
      <c r="AN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  <c r="AM438" s="452" t="n"/>
      <c r="AN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  <c r="AM439" s="452" t="n"/>
      <c r="AN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  <c r="AM440" s="452" t="n"/>
      <c r="AN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  <c r="AM441" s="452" t="n"/>
      <c r="AN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  <c r="AM442" s="452" t="n"/>
      <c r="AN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  <c r="AM443" s="452" t="n"/>
      <c r="AN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  <c r="AM444" s="452" t="n"/>
      <c r="AN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  <c r="AM445" s="452" t="n"/>
      <c r="AN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  <c r="AM446" s="452" t="n"/>
      <c r="AN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  <c r="AM447" s="452" t="n"/>
      <c r="AN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  <c r="AM448" s="452" t="n"/>
      <c r="AN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  <c r="AM449" s="452" t="n"/>
      <c r="AN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  <c r="AM450" s="452" t="n"/>
      <c r="AN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  <c r="AM451" s="452" t="n"/>
      <c r="AN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  <c r="AM452" s="452" t="n"/>
      <c r="AN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  <c r="AM453" s="452" t="n"/>
      <c r="AN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  <c r="AM454" s="452" t="n"/>
      <c r="AN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  <c r="AM455" s="452" t="n"/>
      <c r="AN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  <c r="AM456" s="452" t="n"/>
      <c r="AN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  <c r="AM457" s="452" t="n"/>
      <c r="AN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  <c r="AM458" s="452" t="n"/>
      <c r="AN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  <c r="AM459" s="452" t="n"/>
      <c r="AN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  <c r="AM460" s="452" t="n"/>
      <c r="AN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  <c r="AM461" s="452" t="n"/>
      <c r="AN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  <c r="AM462" s="452" t="n"/>
      <c r="AN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  <c r="AM463" s="452" t="n"/>
      <c r="AN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  <c r="AM464" s="452" t="n"/>
      <c r="AN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  <c r="AM465" s="452" t="n"/>
      <c r="AN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  <c r="AM466" s="452" t="n"/>
      <c r="AN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  <c r="AM467" s="452" t="n"/>
      <c r="AN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  <c r="AM468" s="452" t="n"/>
      <c r="AN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  <c r="AM469" s="452" t="n"/>
      <c r="AN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  <c r="AM470" s="452" t="n"/>
      <c r="AN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  <c r="AM471" s="452" t="n"/>
      <c r="AN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  <c r="AM472" s="452" t="n"/>
      <c r="AN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  <c r="AM473" s="452" t="n"/>
      <c r="AN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  <c r="AM474" s="452" t="n"/>
      <c r="AN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  <c r="AM475" s="452" t="n"/>
      <c r="AN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  <c r="AM476" s="452" t="n"/>
      <c r="AN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  <c r="AM477" s="452" t="n"/>
      <c r="AN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  <c r="AM478" s="452" t="n"/>
      <c r="AN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  <c r="AM479" s="452" t="n"/>
      <c r="AN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  <c r="AM480" s="452" t="n"/>
      <c r="AN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  <c r="AM481" s="452" t="n"/>
      <c r="AN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  <c r="AM482" s="452" t="n"/>
      <c r="AN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  <c r="AM483" s="452" t="n"/>
      <c r="AN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  <c r="AM484" s="452" t="n"/>
      <c r="AN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  <c r="AM485" s="452" t="n"/>
      <c r="AN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  <c r="AM486" s="452" t="n"/>
      <c r="AN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  <c r="AM487" s="452" t="n"/>
      <c r="AN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  <c r="AM488" s="452" t="n"/>
      <c r="AN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  <c r="AM489" s="452" t="n"/>
      <c r="AN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  <c r="AM490" s="452" t="n"/>
      <c r="AN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  <c r="AM491" s="452" t="n"/>
      <c r="AN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  <c r="AM492" s="452" t="n"/>
      <c r="AN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  <c r="AM493" s="452" t="n"/>
      <c r="AN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  <c r="AM494" s="452" t="n"/>
      <c r="AN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  <c r="AM495" s="452" t="n"/>
      <c r="AN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  <c r="AM496" s="452" t="n"/>
      <c r="AN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  <c r="AM497" s="452" t="n"/>
      <c r="AN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  <c r="AM498" s="452" t="n"/>
      <c r="AN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  <c r="AM499" s="452" t="n"/>
      <c r="AN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  <c r="AM500" s="452" t="n"/>
      <c r="AN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  <c r="AM501" s="452" t="n"/>
      <c r="AN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  <c r="AM502" s="452" t="n"/>
      <c r="AN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  <c r="AM503" s="452" t="n"/>
      <c r="AN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  <c r="AM504" s="452" t="n"/>
      <c r="AN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  <c r="AM505" s="452" t="n"/>
      <c r="AN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  <c r="AM506" s="452" t="n"/>
      <c r="AN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  <c r="AM507" s="452" t="n"/>
      <c r="AN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  <c r="AM508" s="452" t="n"/>
      <c r="AN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  <c r="AM509" s="452" t="n"/>
      <c r="AN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  <c r="AM510" s="452" t="n"/>
      <c r="AN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  <c r="AM511" s="452" t="n"/>
      <c r="AN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  <c r="AM512" s="452" t="n"/>
      <c r="AN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  <c r="AM513" s="452" t="n"/>
      <c r="AN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  <c r="AM514" s="452" t="n"/>
      <c r="AN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  <c r="AM515" s="452" t="n"/>
      <c r="AN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  <c r="AM516" s="452" t="n"/>
      <c r="AN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  <c r="AM517" s="452" t="n"/>
      <c r="AN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  <c r="AM518" s="452" t="n"/>
      <c r="AN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  <c r="AM519" s="452" t="n"/>
      <c r="AN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  <c r="AM520" s="452" t="n"/>
      <c r="AN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  <c r="AM521" s="452" t="n"/>
      <c r="AN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  <c r="AM522" s="452" t="n"/>
      <c r="AN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  <c r="AM523" s="452" t="n"/>
      <c r="AN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  <c r="AM524" s="452" t="n"/>
      <c r="AN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  <c r="AM525" s="452" t="n"/>
      <c r="AN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  <c r="AM526" s="452" t="n"/>
      <c r="AN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  <c r="AM527" s="452" t="n"/>
      <c r="AN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  <c r="AM528" s="452" t="n"/>
      <c r="AN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  <c r="AM529" s="452" t="n"/>
      <c r="AN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  <c r="AM530" s="452" t="n"/>
      <c r="AN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  <c r="AM531" s="452" t="n"/>
      <c r="AN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  <c r="AM532" s="452" t="n"/>
      <c r="AN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  <c r="AM533" s="452" t="n"/>
      <c r="AN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  <c r="AM534" s="452" t="n"/>
      <c r="AN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  <c r="AM535" s="452" t="n"/>
      <c r="AN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  <c r="AM536" s="452" t="n"/>
      <c r="AN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  <c r="AM537" s="452" t="n"/>
      <c r="AN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  <c r="AM538" s="452" t="n"/>
      <c r="AN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  <c r="AM539" s="452" t="n"/>
      <c r="AN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  <c r="AM540" s="452" t="n"/>
      <c r="AN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  <c r="AM541" s="452" t="n"/>
      <c r="AN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  <c r="AM542" s="452" t="n"/>
      <c r="AN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  <c r="AM543" s="452" t="n"/>
      <c r="AN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  <c r="AM544" s="452" t="n"/>
      <c r="AN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  <c r="AM545" s="452" t="n"/>
      <c r="AN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  <c r="AM546" s="452" t="n"/>
      <c r="AN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  <c r="AM547" s="452" t="n"/>
      <c r="AN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  <c r="AM548" s="452" t="n"/>
      <c r="AN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  <c r="AM549" s="452" t="n"/>
      <c r="AN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  <c r="AM550" s="452" t="n"/>
      <c r="AN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  <c r="AM551" s="452" t="n"/>
      <c r="AN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  <c r="AM552" s="452" t="n"/>
      <c r="AN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  <c r="AM553" s="452" t="n"/>
      <c r="AN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  <c r="AM554" s="452" t="n"/>
      <c r="AN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  <c r="AM555" s="452" t="n"/>
      <c r="AN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  <c r="AM556" s="452" t="n"/>
      <c r="AN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  <c r="AM557" s="452" t="n"/>
      <c r="AN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  <c r="AM558" s="452" t="n"/>
      <c r="AN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  <c r="AM559" s="452" t="n"/>
      <c r="AN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  <c r="AM560" s="452" t="n"/>
      <c r="AN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  <c r="AM561" s="452" t="n"/>
      <c r="AN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  <c r="AM562" s="452" t="n"/>
      <c r="AN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  <c r="AM563" s="452" t="n"/>
      <c r="AN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  <c r="AM564" s="452" t="n"/>
      <c r="AN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  <c r="AM565" s="452" t="n"/>
      <c r="AN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  <c r="AM566" s="452" t="n"/>
      <c r="AN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  <c r="AM567" s="452" t="n"/>
      <c r="AN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  <c r="AM568" s="452" t="n"/>
      <c r="AN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  <c r="AM569" s="452" t="n"/>
      <c r="AN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  <c r="AM570" s="452" t="n"/>
      <c r="AN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  <c r="AM571" s="452" t="n"/>
      <c r="AN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  <c r="AM572" s="452" t="n"/>
      <c r="AN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  <c r="AM573" s="452" t="n"/>
      <c r="AN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  <c r="AM574" s="452" t="n"/>
      <c r="AN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  <c r="AM575" s="452" t="n"/>
      <c r="AN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  <c r="AM576" s="452" t="n"/>
      <c r="AN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  <c r="AM577" s="452" t="n"/>
      <c r="AN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  <c r="AM578" s="452" t="n"/>
      <c r="AN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  <c r="AM579" s="452" t="n"/>
      <c r="AN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  <c r="AM580" s="452" t="n"/>
      <c r="AN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  <c r="AM581" s="452" t="n"/>
      <c r="AN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  <c r="AM582" s="452" t="n"/>
      <c r="AN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  <c r="AM583" s="452" t="n"/>
      <c r="AN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  <c r="AM584" s="452" t="n"/>
      <c r="AN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  <c r="AM585" s="452" t="n"/>
      <c r="AN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  <c r="AM586" s="452" t="n"/>
      <c r="AN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  <c r="AM587" s="452" t="n"/>
      <c r="AN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  <c r="AM588" s="452" t="n"/>
      <c r="AN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  <c r="AM589" s="452" t="n"/>
      <c r="AN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  <c r="AM590" s="452" t="n"/>
      <c r="AN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  <c r="AM591" s="452" t="n"/>
      <c r="AN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  <c r="AM592" s="452" t="n"/>
      <c r="AN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  <c r="AM593" s="452" t="n"/>
      <c r="AN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  <c r="AM594" s="452" t="n"/>
      <c r="AN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  <c r="AM595" s="452" t="n"/>
      <c r="AN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  <c r="AM596" s="452" t="n"/>
      <c r="AN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  <c r="AM597" s="452" t="n"/>
      <c r="AN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  <c r="AM598" s="452" t="n"/>
      <c r="AN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  <c r="AM599" s="452" t="n"/>
      <c r="AN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  <c r="AM600" s="452" t="n"/>
      <c r="AN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  <c r="AM601" s="452" t="n"/>
      <c r="AN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  <c r="AM602" s="452" t="n"/>
      <c r="AN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  <c r="AM603" s="452" t="n"/>
      <c r="AN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  <c r="AM604" s="452" t="n"/>
      <c r="AN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  <c r="AM605" s="452" t="n"/>
      <c r="AN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  <c r="AM606" s="452" t="n"/>
      <c r="AN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  <c r="AM607" s="452" t="n"/>
      <c r="AN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  <c r="AM608" s="452" t="n"/>
      <c r="AN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  <c r="AM609" s="452" t="n"/>
      <c r="AN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  <c r="AM610" s="452" t="n"/>
      <c r="AN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  <c r="AM611" s="452" t="n"/>
      <c r="AN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  <c r="AM612" s="452" t="n"/>
      <c r="AN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  <c r="AM613" s="452" t="n"/>
      <c r="AN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  <c r="AM614" s="452" t="n"/>
      <c r="AN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  <c r="AM615" s="452" t="n"/>
      <c r="AN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  <c r="AM616" s="452" t="n"/>
      <c r="AN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  <c r="AM617" s="452" t="n"/>
      <c r="AN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  <c r="AM618" s="452" t="n"/>
      <c r="AN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  <c r="AM619" s="452" t="n"/>
      <c r="AN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  <c r="AM620" s="452" t="n"/>
      <c r="AN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  <c r="AM621" s="452" t="n"/>
      <c r="AN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  <c r="AM622" s="452" t="n"/>
      <c r="AN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  <c r="AM623" s="452" t="n"/>
      <c r="AN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  <c r="AM624" s="452" t="n"/>
      <c r="AN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  <c r="AM625" s="452" t="n"/>
      <c r="AN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  <c r="AM626" s="452" t="n"/>
      <c r="AN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  <c r="AM627" s="452" t="n"/>
      <c r="AN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  <c r="AM628" s="452" t="n"/>
      <c r="AN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  <c r="AM629" s="452" t="n"/>
      <c r="AN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  <c r="AM630" s="452" t="n"/>
      <c r="AN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  <c r="AM631" s="452" t="n"/>
      <c r="AN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  <c r="AM632" s="452" t="n"/>
      <c r="AN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  <c r="AM633" s="452" t="n"/>
      <c r="AN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  <c r="AM634" s="452" t="n"/>
      <c r="AN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  <c r="AM635" s="452" t="n"/>
      <c r="AN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  <c r="AM636" s="452" t="n"/>
      <c r="AN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  <c r="AM637" s="452" t="n"/>
      <c r="AN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  <c r="AM638" s="452" t="n"/>
      <c r="AN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  <c r="AM639" s="452" t="n"/>
      <c r="AN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  <c r="AM640" s="452" t="n"/>
      <c r="AN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  <c r="AM641" s="452" t="n"/>
      <c r="AN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  <c r="AM642" s="452" t="n"/>
      <c r="AN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  <c r="AM643" s="452" t="n"/>
      <c r="AN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  <c r="AM644" s="452" t="n"/>
      <c r="AN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  <c r="AM645" s="452" t="n"/>
      <c r="AN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  <c r="AM646" s="452" t="n"/>
      <c r="AN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  <c r="AM647" s="452" t="n"/>
      <c r="AN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  <c r="AM648" s="452" t="n"/>
      <c r="AN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  <c r="AM649" s="452" t="n"/>
      <c r="AN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  <c r="AM650" s="452" t="n"/>
      <c r="AN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  <c r="AM651" s="452" t="n"/>
      <c r="AN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  <c r="AM652" s="452" t="n"/>
      <c r="AN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  <c r="AM653" s="452" t="n"/>
      <c r="AN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  <c r="AM654" s="452" t="n"/>
      <c r="AN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  <c r="AM655" s="452" t="n"/>
      <c r="AN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  <c r="AM656" s="452" t="n"/>
      <c r="AN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  <c r="AM657" s="452" t="n"/>
      <c r="AN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  <c r="AM658" s="452" t="n"/>
      <c r="AN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  <c r="AM659" s="452" t="n"/>
      <c r="AN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  <c r="AM660" s="452" t="n"/>
      <c r="AN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  <c r="AM661" s="452" t="n"/>
      <c r="AN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  <c r="AM662" s="452" t="n"/>
      <c r="AN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  <c r="AM663" s="452" t="n"/>
      <c r="AN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  <c r="AM664" s="452" t="n"/>
      <c r="AN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  <c r="AM665" s="452" t="n"/>
      <c r="AN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  <c r="AM666" s="452" t="n"/>
      <c r="AN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  <c r="AM667" s="452" t="n"/>
      <c r="AN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  <c r="AM668" s="452" t="n"/>
      <c r="AN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  <c r="AM669" s="452" t="n"/>
      <c r="AN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  <c r="AM670" s="452" t="n"/>
      <c r="AN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  <c r="AM671" s="452" t="n"/>
      <c r="AN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  <c r="AM672" s="452" t="n"/>
      <c r="AN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  <c r="AM673" s="452" t="n"/>
      <c r="AN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  <c r="AM674" s="452" t="n"/>
      <c r="AN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  <c r="AM675" s="452" t="n"/>
      <c r="AN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  <c r="AM676" s="452" t="n"/>
      <c r="AN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  <c r="AM677" s="452" t="n"/>
      <c r="AN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  <c r="AM678" s="452" t="n"/>
      <c r="AN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  <c r="AM679" s="452" t="n"/>
      <c r="AN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  <c r="AM680" s="452" t="n"/>
      <c r="AN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  <c r="AM681" s="452" t="n"/>
      <c r="AN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  <c r="AM682" s="452" t="n"/>
      <c r="AN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  <c r="AM683" s="452" t="n"/>
      <c r="AN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  <c r="AM684" s="452" t="n"/>
      <c r="AN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  <c r="AM685" s="452" t="n"/>
      <c r="AN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  <c r="AM686" s="452" t="n"/>
      <c r="AN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  <c r="AM687" s="452" t="n"/>
      <c r="AN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  <c r="AM688" s="452" t="n"/>
      <c r="AN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  <c r="AM689" s="452" t="n"/>
      <c r="AN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  <c r="AM690" s="452" t="n"/>
      <c r="AN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  <c r="AM691" s="452" t="n"/>
      <c r="AN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  <c r="AM692" s="452" t="n"/>
      <c r="AN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  <c r="AM693" s="452" t="n"/>
      <c r="AN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  <c r="AM694" s="452" t="n"/>
      <c r="AN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  <c r="AM695" s="452" t="n"/>
      <c r="AN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  <c r="AM696" s="452" t="n"/>
      <c r="AN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  <c r="AM697" s="452" t="n"/>
      <c r="AN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  <c r="AM698" s="452" t="n"/>
      <c r="AN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  <c r="AM699" s="452" t="n"/>
      <c r="AN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  <c r="AM700" s="452" t="n"/>
      <c r="AN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  <c r="AM701" s="452" t="n"/>
      <c r="AN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  <c r="AM702" s="452" t="n"/>
      <c r="AN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  <c r="AM703" s="452" t="n"/>
      <c r="AN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  <c r="AM704" s="452" t="n"/>
      <c r="AN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  <c r="AM705" s="452" t="n"/>
      <c r="AN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  <c r="AM706" s="452" t="n"/>
      <c r="AN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  <c r="AM707" s="452" t="n"/>
      <c r="AN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  <c r="AM708" s="452" t="n"/>
      <c r="AN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  <c r="AM709" s="452" t="n"/>
      <c r="AN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  <c r="AM710" s="452" t="n"/>
      <c r="AN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  <c r="AM711" s="452" t="n"/>
      <c r="AN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  <c r="AM712" s="452" t="n"/>
      <c r="AN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  <c r="AM713" s="452" t="n"/>
      <c r="AN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  <c r="AM714" s="452" t="n"/>
      <c r="AN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  <c r="AM715" s="452" t="n"/>
      <c r="AN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  <c r="AM716" s="452" t="n"/>
      <c r="AN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  <c r="AM717" s="452" t="n"/>
      <c r="AN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  <c r="AM718" s="452" t="n"/>
      <c r="AN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  <c r="AM719" s="452" t="n"/>
      <c r="AN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  <c r="AM720" s="452" t="n"/>
      <c r="AN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  <c r="AM721" s="452" t="n"/>
      <c r="AN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  <c r="AM722" s="452" t="n"/>
      <c r="AN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  <c r="AM723" s="452" t="n"/>
      <c r="AN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  <c r="AM724" s="452" t="n"/>
      <c r="AN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  <c r="AM725" s="452" t="n"/>
      <c r="AN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  <c r="AM726" s="452" t="n"/>
      <c r="AN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  <c r="AM727" s="452" t="n"/>
      <c r="AN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  <c r="AM728" s="452" t="n"/>
      <c r="AN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  <c r="AM729" s="452" t="n"/>
      <c r="AN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  <c r="AM730" s="452" t="n"/>
      <c r="AN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  <c r="AM731" s="452" t="n"/>
      <c r="AN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  <c r="AM732" s="452" t="n"/>
      <c r="AN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  <c r="AM733" s="452" t="n"/>
      <c r="AN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  <c r="AM734" s="452" t="n"/>
      <c r="AN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  <c r="AM735" s="452" t="n"/>
      <c r="AN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  <c r="AM736" s="452" t="n"/>
      <c r="AN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  <c r="AM737" s="452" t="n"/>
      <c r="AN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  <c r="AM738" s="452" t="n"/>
      <c r="AN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  <c r="AM739" s="452" t="n"/>
      <c r="AN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  <c r="AM740" s="452" t="n"/>
      <c r="AN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  <c r="AM741" s="452" t="n"/>
      <c r="AN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  <c r="AM742" s="452" t="n"/>
      <c r="AN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  <c r="AM743" s="452" t="n"/>
      <c r="AN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  <c r="AM744" s="452" t="n"/>
      <c r="AN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  <c r="AM745" s="452" t="n"/>
      <c r="AN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  <c r="AM746" s="452" t="n"/>
      <c r="AN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  <c r="AM747" s="452" t="n"/>
      <c r="AN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  <c r="AM748" s="452" t="n"/>
      <c r="AN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  <c r="AM749" s="452" t="n"/>
      <c r="AN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  <c r="AM750" s="452" t="n"/>
      <c r="AN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  <c r="AM751" s="452" t="n"/>
      <c r="AN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  <c r="AM752" s="452" t="n"/>
      <c r="AN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  <c r="AM753" s="452" t="n"/>
      <c r="AN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  <c r="AM754" s="452" t="n"/>
      <c r="AN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  <c r="AM755" s="452" t="n"/>
      <c r="AN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  <c r="AM756" s="452" t="n"/>
      <c r="AN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  <c r="AM757" s="452" t="n"/>
      <c r="AN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  <c r="AM758" s="452" t="n"/>
      <c r="AN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  <c r="AM759" s="452" t="n"/>
      <c r="AN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  <c r="AM760" s="452" t="n"/>
      <c r="AN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  <c r="AM761" s="452" t="n"/>
      <c r="AN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  <c r="AM762" s="452" t="n"/>
      <c r="AN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  <c r="AM763" s="452" t="n"/>
      <c r="AN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  <c r="AM764" s="452" t="n"/>
      <c r="AN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  <c r="AM765" s="452" t="n"/>
      <c r="AN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  <c r="AM766" s="452" t="n"/>
      <c r="AN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  <c r="AM767" s="452" t="n"/>
      <c r="AN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  <c r="AM768" s="452" t="n"/>
      <c r="AN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  <c r="AM769" s="452" t="n"/>
      <c r="AN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  <c r="AM770" s="452" t="n"/>
      <c r="AN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  <c r="AM771" s="452" t="n"/>
      <c r="AN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  <c r="AM772" s="452" t="n"/>
      <c r="AN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  <c r="AM773" s="452" t="n"/>
      <c r="AN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  <c r="AM774" s="452" t="n"/>
      <c r="AN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  <c r="AM775" s="452" t="n"/>
      <c r="AN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  <c r="AM776" s="452" t="n"/>
      <c r="AN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  <c r="AM777" s="452" t="n"/>
      <c r="AN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  <c r="AM778" s="452" t="n"/>
      <c r="AN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  <c r="AM779" s="452" t="n"/>
      <c r="AN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  <c r="AM780" s="452" t="n"/>
      <c r="AN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  <c r="AM781" s="452" t="n"/>
      <c r="AN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  <c r="AM782" s="452" t="n"/>
      <c r="AN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  <c r="AM783" s="452" t="n"/>
      <c r="AN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  <c r="AM784" s="452" t="n"/>
      <c r="AN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  <c r="AM785" s="452" t="n"/>
      <c r="AN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  <c r="AM786" s="452" t="n"/>
      <c r="AN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  <c r="AM787" s="452" t="n"/>
      <c r="AN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  <c r="AM788" s="452" t="n"/>
      <c r="AN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  <c r="AM789" s="452" t="n"/>
      <c r="AN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  <c r="AM790" s="452" t="n"/>
      <c r="AN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  <c r="AM791" s="452" t="n"/>
      <c r="AN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  <c r="AM792" s="452" t="n"/>
      <c r="AN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  <c r="AM793" s="452" t="n"/>
      <c r="AN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  <c r="AM794" s="452" t="n"/>
      <c r="AN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  <c r="AM795" s="452" t="n"/>
      <c r="AN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  <c r="AM796" s="452" t="n"/>
      <c r="AN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  <c r="AM797" s="452" t="n"/>
      <c r="AN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  <c r="AM798" s="452" t="n"/>
      <c r="AN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  <c r="AM799" s="452" t="n"/>
      <c r="AN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  <c r="AM800" s="452" t="n"/>
      <c r="AN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  <c r="AM801" s="452" t="n"/>
      <c r="AN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  <c r="AM802" s="452" t="n"/>
      <c r="AN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  <c r="AM803" s="452" t="n"/>
      <c r="AN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  <c r="AM804" s="452" t="n"/>
      <c r="AN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  <c r="AM805" s="452" t="n"/>
      <c r="AN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  <c r="AM806" s="452" t="n"/>
      <c r="AN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  <c r="AM807" s="452" t="n"/>
      <c r="AN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  <c r="AM808" s="452" t="n"/>
      <c r="AN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  <c r="AM809" s="452" t="n"/>
      <c r="AN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  <c r="AM810" s="452" t="n"/>
      <c r="AN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  <c r="AM811" s="452" t="n"/>
      <c r="AN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  <c r="AM812" s="452" t="n"/>
      <c r="AN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  <c r="AM813" s="452" t="n"/>
      <c r="AN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  <c r="AM814" s="452" t="n"/>
      <c r="AN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  <c r="AM815" s="452" t="n"/>
      <c r="AN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  <c r="AM816" s="452" t="n"/>
      <c r="AN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  <c r="AM817" s="452" t="n"/>
      <c r="AN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  <c r="AM818" s="452" t="n"/>
      <c r="AN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  <c r="AM819" s="452" t="n"/>
      <c r="AN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  <c r="AM820" s="452" t="n"/>
      <c r="AN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  <c r="AM821" s="452" t="n"/>
      <c r="AN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  <c r="AM822" s="452" t="n"/>
      <c r="AN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  <c r="AM823" s="452" t="n"/>
      <c r="AN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  <c r="AM824" s="452" t="n"/>
      <c r="AN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  <c r="AM825" s="452" t="n"/>
      <c r="AN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  <c r="AM826" s="452" t="n"/>
      <c r="AN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  <c r="AM827" s="452" t="n"/>
      <c r="AN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  <c r="AM828" s="452" t="n"/>
      <c r="AN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  <c r="AM829" s="452" t="n"/>
      <c r="AN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  <c r="AM830" s="452" t="n"/>
      <c r="AN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  <c r="AM831" s="452" t="n"/>
      <c r="AN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  <c r="AM832" s="452" t="n"/>
      <c r="AN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  <c r="AM833" s="452" t="n"/>
      <c r="AN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  <c r="AM834" s="452" t="n"/>
      <c r="AN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  <c r="AM835" s="452" t="n"/>
      <c r="AN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  <c r="AM836" s="452" t="n"/>
      <c r="AN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  <c r="AM837" s="452" t="n"/>
      <c r="AN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  <c r="AM838" s="452" t="n"/>
      <c r="AN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  <c r="AM839" s="452" t="n"/>
      <c r="AN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  <c r="AM840" s="452" t="n"/>
      <c r="AN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  <c r="AM841" s="452" t="n"/>
      <c r="AN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  <c r="AM842" s="452" t="n"/>
      <c r="AN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  <c r="AM843" s="452" t="n"/>
      <c r="AN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  <c r="AM844" s="452" t="n"/>
      <c r="AN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  <c r="AM845" s="452" t="n"/>
      <c r="AN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  <c r="AM846" s="452" t="n"/>
      <c r="AN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  <c r="AM847" s="452" t="n"/>
      <c r="AN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  <c r="AM848" s="452" t="n"/>
      <c r="AN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  <c r="AM849" s="452" t="n"/>
      <c r="AN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  <c r="AM850" s="452" t="n"/>
      <c r="AN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  <c r="AM851" s="452" t="n"/>
      <c r="AN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  <c r="AM852" s="452" t="n"/>
      <c r="AN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  <c r="AM853" s="452" t="n"/>
      <c r="AN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  <c r="AM854" s="452" t="n"/>
      <c r="AN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  <c r="AM855" s="452" t="n"/>
      <c r="AN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  <c r="AM856" s="452" t="n"/>
      <c r="AN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  <c r="AM857" s="452" t="n"/>
      <c r="AN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  <c r="AM858" s="452" t="n"/>
      <c r="AN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  <c r="AM859" s="452" t="n"/>
      <c r="AN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  <c r="AM860" s="452" t="n"/>
      <c r="AN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  <c r="AM861" s="452" t="n"/>
      <c r="AN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  <c r="AM862" s="452" t="n"/>
      <c r="AN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  <c r="AM863" s="452" t="n"/>
      <c r="AN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  <c r="AM864" s="452" t="n"/>
      <c r="AN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  <c r="AM865" s="452" t="n"/>
      <c r="AN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  <c r="AM866" s="452" t="n"/>
      <c r="AN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  <c r="AM867" s="452" t="n"/>
      <c r="AN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  <c r="AM868" s="452" t="n"/>
      <c r="AN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  <c r="AM869" s="452" t="n"/>
      <c r="AN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  <c r="AM870" s="452" t="n"/>
      <c r="AN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  <c r="AM871" s="452" t="n"/>
      <c r="AN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  <c r="AM872" s="452" t="n"/>
      <c r="AN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  <c r="AM873" s="452" t="n"/>
      <c r="AN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  <c r="AM874" s="452" t="n"/>
      <c r="AN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  <c r="AM875" s="452" t="n"/>
      <c r="AN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  <c r="AM876" s="452" t="n"/>
      <c r="AN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  <c r="AM877" s="452" t="n"/>
      <c r="AN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  <c r="AM878" s="452" t="n"/>
      <c r="AN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  <c r="AM879" s="452" t="n"/>
      <c r="AN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  <c r="AM880" s="452" t="n"/>
      <c r="AN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  <c r="AM881" s="452" t="n"/>
      <c r="AN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  <c r="AM882" s="452" t="n"/>
      <c r="AN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  <c r="AM883" s="452" t="n"/>
      <c r="AN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  <c r="AM884" s="452" t="n"/>
      <c r="AN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  <c r="AM885" s="452" t="n"/>
      <c r="AN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  <c r="AM886" s="452" t="n"/>
      <c r="AN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  <c r="AM887" s="452" t="n"/>
      <c r="AN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  <c r="AM888" s="452" t="n"/>
      <c r="AN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  <c r="AM889" s="452" t="n"/>
      <c r="AN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  <c r="AM890" s="452" t="n"/>
      <c r="AN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  <c r="AM891" s="452" t="n"/>
      <c r="AN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  <c r="AM892" s="452" t="n"/>
      <c r="AN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  <c r="AM893" s="452" t="n"/>
      <c r="AN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  <c r="AM894" s="452" t="n"/>
      <c r="AN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  <c r="AM895" s="452" t="n"/>
      <c r="AN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  <c r="AM896" s="452" t="n"/>
      <c r="AN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  <c r="AM897" s="452" t="n"/>
      <c r="AN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  <c r="AM898" s="452" t="n"/>
      <c r="AN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  <c r="AM899" s="452" t="n"/>
      <c r="AN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  <c r="AM900" s="452" t="n"/>
      <c r="AN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  <c r="AM901" s="452" t="n"/>
      <c r="AN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  <c r="AM902" s="452" t="n"/>
      <c r="AN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  <c r="AM903" s="452" t="n"/>
      <c r="AN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  <c r="AM904" s="452" t="n"/>
      <c r="AN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  <c r="AM905" s="452" t="n"/>
      <c r="AN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  <c r="AM906" s="452" t="n"/>
      <c r="AN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  <c r="AM907" s="452" t="n"/>
      <c r="AN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  <c r="AM908" s="452" t="n"/>
      <c r="AN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  <c r="AM909" s="452" t="n"/>
      <c r="AN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  <c r="AM910" s="452" t="n"/>
      <c r="AN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  <c r="AM911" s="452" t="n"/>
      <c r="AN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  <c r="AM912" s="452" t="n"/>
      <c r="AN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  <c r="AM913" s="452" t="n"/>
      <c r="AN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  <c r="AM914" s="452" t="n"/>
      <c r="AN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  <c r="AM915" s="452" t="n"/>
      <c r="AN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  <c r="AM916" s="452" t="n"/>
      <c r="AN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  <c r="AM917" s="452" t="n"/>
      <c r="AN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  <c r="AM918" s="452" t="n"/>
      <c r="AN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  <c r="AM919" s="452" t="n"/>
      <c r="AN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  <c r="AM920" s="452" t="n"/>
      <c r="AN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  <c r="AM921" s="452" t="n"/>
      <c r="AN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  <c r="AM922" s="452" t="n"/>
      <c r="AN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  <c r="AM923" s="452" t="n"/>
      <c r="AN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  <c r="AM924" s="452" t="n"/>
      <c r="AN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  <c r="AM925" s="452" t="n"/>
      <c r="AN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  <c r="AM926" s="452" t="n"/>
      <c r="AN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  <c r="AM927" s="452" t="n"/>
      <c r="AN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  <c r="AM928" s="452" t="n"/>
      <c r="AN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  <c r="AM929" s="452" t="n"/>
      <c r="AN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  <c r="AM930" s="452" t="n"/>
      <c r="AN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  <c r="AM931" s="452" t="n"/>
      <c r="AN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  <c r="AM932" s="452" t="n"/>
      <c r="AN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  <c r="AM933" s="452" t="n"/>
      <c r="AN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  <c r="AM934" s="452" t="n"/>
      <c r="AN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  <c r="AM935" s="452" t="n"/>
      <c r="AN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  <c r="AM936" s="452" t="n"/>
      <c r="AN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  <c r="AM937" s="452" t="n"/>
      <c r="AN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  <c r="AM938" s="452" t="n"/>
      <c r="AN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  <c r="AM939" s="452" t="n"/>
      <c r="AN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  <c r="AM940" s="452" t="n"/>
      <c r="AN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  <c r="AM941" s="452" t="n"/>
      <c r="AN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  <c r="AM942" s="452" t="n"/>
      <c r="AN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  <c r="AM943" s="452" t="n"/>
      <c r="AN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  <c r="AM944" s="452" t="n"/>
      <c r="AN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  <c r="AM945" s="452" t="n"/>
      <c r="AN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  <c r="AM946" s="452" t="n"/>
      <c r="AN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  <c r="AM947" s="452" t="n"/>
      <c r="AN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  <c r="AM948" s="452" t="n"/>
      <c r="AN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  <c r="AM949" s="452" t="n"/>
      <c r="AN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  <c r="AM950" s="452" t="n"/>
      <c r="AN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  <c r="AM951" s="452" t="n"/>
      <c r="AN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  <c r="AM952" s="452" t="n"/>
      <c r="AN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  <c r="AM953" s="452" t="n"/>
      <c r="AN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  <c r="AM954" s="452" t="n"/>
      <c r="AN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  <c r="AM955" s="452" t="n"/>
      <c r="AN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  <c r="AM956" s="452" t="n"/>
      <c r="AN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  <c r="AM957" s="452" t="n"/>
      <c r="AN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  <c r="AM958" s="452" t="n"/>
      <c r="AN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  <c r="AM959" s="452" t="n"/>
      <c r="AN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  <c r="AM960" s="452" t="n"/>
      <c r="AN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  <c r="AM961" s="452" t="n"/>
      <c r="AN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  <c r="AM962" s="452" t="n"/>
      <c r="AN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  <c r="AM963" s="452" t="n"/>
      <c r="AN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  <c r="AM964" s="452" t="n"/>
      <c r="AN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  <c r="AM965" s="452" t="n"/>
      <c r="AN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  <c r="AM966" s="452" t="n"/>
      <c r="AN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  <c r="AM967" s="452" t="n"/>
      <c r="AN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  <c r="AM968" s="452" t="n"/>
      <c r="AN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  <c r="AM969" s="452" t="n"/>
      <c r="AN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  <c r="AM970" s="452" t="n"/>
      <c r="AN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  <c r="AM971" s="452" t="n"/>
      <c r="AN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  <c r="AM972" s="452" t="n"/>
      <c r="AN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  <c r="AM973" s="452" t="n"/>
      <c r="AN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  <c r="AM974" s="452" t="n"/>
      <c r="AN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  <c r="AM975" s="452" t="n"/>
      <c r="AN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  <c r="AM976" s="452" t="n"/>
      <c r="AN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  <c r="AM977" s="452" t="n"/>
      <c r="AN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  <c r="AM978" s="452" t="n"/>
      <c r="AN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  <c r="AM979" s="452" t="n"/>
      <c r="AN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  <c r="AM980" s="452" t="n"/>
      <c r="AN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  <c r="AM981" s="452" t="n"/>
      <c r="AN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  <c r="AM982" s="452" t="n"/>
      <c r="AN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  <c r="AM983" s="452" t="n"/>
      <c r="AN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  <c r="AM984" s="452" t="n"/>
      <c r="AN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  <c r="AM985" s="452" t="n"/>
      <c r="AN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  <c r="AM986" s="452" t="n"/>
      <c r="AN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  <c r="AM987" s="452" t="n"/>
      <c r="AN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  <c r="AM988" s="452" t="n"/>
      <c r="AN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  <c r="AM989" s="452" t="n"/>
      <c r="AN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  <c r="AM990" s="452" t="n"/>
      <c r="AN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  <c r="AM991" s="452" t="n"/>
      <c r="AN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  <c r="AM992" s="452" t="n"/>
      <c r="AN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  <c r="AM993" s="452" t="n"/>
      <c r="AN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  <c r="AM994" s="452" t="n"/>
      <c r="AN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  <c r="AM995" s="452" t="n"/>
      <c r="AN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  <c r="AM996" s="452" t="n"/>
      <c r="AN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  <c r="AM997" s="452" t="n"/>
      <c r="AN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  <c r="AM998" s="452" t="n"/>
      <c r="AN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  <c r="AM999" s="452" t="n"/>
      <c r="AN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  <c r="Y1000" s="452" t="n"/>
      <c r="Z1000" s="452" t="n"/>
      <c r="AA1000" s="452" t="n"/>
      <c r="AB1000" s="452" t="n"/>
      <c r="AC1000" s="452" t="n"/>
      <c r="AD1000" s="452" t="n"/>
      <c r="AE1000" s="452" t="n"/>
      <c r="AF1000" s="452" t="n"/>
      <c r="AG1000" s="452" t="n"/>
      <c r="AH1000" s="452" t="n"/>
      <c r="AI1000" s="452" t="n"/>
      <c r="AJ1000" s="452" t="n"/>
      <c r="AK1000" s="452" t="n"/>
      <c r="AL1000" s="452" t="n"/>
      <c r="AM1000" s="452" t="n"/>
      <c r="AN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  <c r="Y1001" s="452" t="n"/>
      <c r="Z1001" s="452" t="n"/>
      <c r="AA1001" s="452" t="n"/>
      <c r="AB1001" s="452" t="n"/>
      <c r="AC1001" s="452" t="n"/>
      <c r="AD1001" s="452" t="n"/>
      <c r="AE1001" s="452" t="n"/>
      <c r="AF1001" s="452" t="n"/>
      <c r="AG1001" s="452" t="n"/>
      <c r="AH1001" s="452" t="n"/>
      <c r="AI1001" s="452" t="n"/>
      <c r="AJ1001" s="452" t="n"/>
      <c r="AK1001" s="452" t="n"/>
      <c r="AL1001" s="452" t="n"/>
      <c r="AM1001" s="452" t="n"/>
      <c r="AN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  <c r="Y1002" s="452" t="n"/>
      <c r="Z1002" s="452" t="n"/>
      <c r="AA1002" s="452" t="n"/>
      <c r="AB1002" s="452" t="n"/>
      <c r="AC1002" s="452" t="n"/>
      <c r="AD1002" s="452" t="n"/>
      <c r="AE1002" s="452" t="n"/>
      <c r="AF1002" s="452" t="n"/>
      <c r="AG1002" s="452" t="n"/>
      <c r="AH1002" s="452" t="n"/>
      <c r="AI1002" s="452" t="n"/>
      <c r="AJ1002" s="452" t="n"/>
      <c r="AK1002" s="452" t="n"/>
      <c r="AL1002" s="452" t="n"/>
      <c r="AM1002" s="452" t="n"/>
      <c r="AN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  <c r="Y1003" s="452" t="n"/>
      <c r="Z1003" s="452" t="n"/>
      <c r="AA1003" s="452" t="n"/>
      <c r="AB1003" s="452" t="n"/>
      <c r="AC1003" s="452" t="n"/>
      <c r="AD1003" s="452" t="n"/>
      <c r="AE1003" s="452" t="n"/>
      <c r="AF1003" s="452" t="n"/>
      <c r="AG1003" s="452" t="n"/>
      <c r="AH1003" s="452" t="n"/>
      <c r="AI1003" s="452" t="n"/>
      <c r="AJ1003" s="452" t="n"/>
      <c r="AK1003" s="452" t="n"/>
      <c r="AL1003" s="452" t="n"/>
      <c r="AM1003" s="452" t="n"/>
      <c r="AN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  <c r="Y1004" s="452" t="n"/>
      <c r="Z1004" s="452" t="n"/>
      <c r="AA1004" s="452" t="n"/>
      <c r="AB1004" s="452" t="n"/>
      <c r="AC1004" s="452" t="n"/>
      <c r="AD1004" s="452" t="n"/>
      <c r="AE1004" s="452" t="n"/>
      <c r="AF1004" s="452" t="n"/>
      <c r="AG1004" s="452" t="n"/>
      <c r="AH1004" s="452" t="n"/>
      <c r="AI1004" s="452" t="n"/>
      <c r="AJ1004" s="452" t="n"/>
      <c r="AK1004" s="452" t="n"/>
      <c r="AL1004" s="452" t="n"/>
      <c r="AM1004" s="452" t="n"/>
      <c r="AN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  <c r="Y1005" s="452" t="n"/>
      <c r="Z1005" s="452" t="n"/>
      <c r="AA1005" s="452" t="n"/>
      <c r="AB1005" s="452" t="n"/>
      <c r="AC1005" s="452" t="n"/>
      <c r="AD1005" s="452" t="n"/>
      <c r="AE1005" s="452" t="n"/>
      <c r="AF1005" s="452" t="n"/>
      <c r="AG1005" s="452" t="n"/>
      <c r="AH1005" s="452" t="n"/>
      <c r="AI1005" s="452" t="n"/>
      <c r="AJ1005" s="452" t="n"/>
      <c r="AK1005" s="452" t="n"/>
      <c r="AL1005" s="452" t="n"/>
      <c r="AM1005" s="452" t="n"/>
      <c r="AN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  <c r="Y1006" s="452" t="n"/>
      <c r="Z1006" s="452" t="n"/>
      <c r="AA1006" s="452" t="n"/>
      <c r="AB1006" s="452" t="n"/>
      <c r="AC1006" s="452" t="n"/>
      <c r="AD1006" s="452" t="n"/>
      <c r="AE1006" s="452" t="n"/>
      <c r="AF1006" s="452" t="n"/>
      <c r="AG1006" s="452" t="n"/>
      <c r="AH1006" s="452" t="n"/>
      <c r="AI1006" s="452" t="n"/>
      <c r="AJ1006" s="452" t="n"/>
      <c r="AK1006" s="452" t="n"/>
      <c r="AL1006" s="452" t="n"/>
      <c r="AM1006" s="452" t="n"/>
      <c r="AN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  <c r="Y1007" s="452" t="n"/>
      <c r="Z1007" s="452" t="n"/>
      <c r="AA1007" s="452" t="n"/>
      <c r="AB1007" s="452" t="n"/>
      <c r="AC1007" s="452" t="n"/>
      <c r="AD1007" s="452" t="n"/>
      <c r="AE1007" s="452" t="n"/>
      <c r="AF1007" s="452" t="n"/>
      <c r="AG1007" s="452" t="n"/>
      <c r="AH1007" s="452" t="n"/>
      <c r="AI1007" s="452" t="n"/>
      <c r="AJ1007" s="452" t="n"/>
      <c r="AK1007" s="452" t="n"/>
      <c r="AL1007" s="452" t="n"/>
      <c r="AM1007" s="452" t="n"/>
      <c r="AN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  <c r="Y1008" s="452" t="n"/>
      <c r="Z1008" s="452" t="n"/>
      <c r="AA1008" s="452" t="n"/>
      <c r="AB1008" s="452" t="n"/>
      <c r="AC1008" s="452" t="n"/>
      <c r="AD1008" s="452" t="n"/>
      <c r="AE1008" s="452" t="n"/>
      <c r="AF1008" s="452" t="n"/>
      <c r="AG1008" s="452" t="n"/>
      <c r="AH1008" s="452" t="n"/>
      <c r="AI1008" s="452" t="n"/>
      <c r="AJ1008" s="452" t="n"/>
      <c r="AK1008" s="452" t="n"/>
      <c r="AL1008" s="452" t="n"/>
      <c r="AM1008" s="452" t="n"/>
      <c r="AN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  <c r="Y1009" s="452" t="n"/>
      <c r="Z1009" s="452" t="n"/>
      <c r="AA1009" s="452" t="n"/>
      <c r="AB1009" s="452" t="n"/>
      <c r="AC1009" s="452" t="n"/>
      <c r="AD1009" s="452" t="n"/>
      <c r="AE1009" s="452" t="n"/>
      <c r="AF1009" s="452" t="n"/>
      <c r="AG1009" s="452" t="n"/>
      <c r="AH1009" s="452" t="n"/>
      <c r="AI1009" s="452" t="n"/>
      <c r="AJ1009" s="452" t="n"/>
      <c r="AK1009" s="452" t="n"/>
      <c r="AL1009" s="452" t="n"/>
      <c r="AM1009" s="452" t="n"/>
      <c r="AN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  <c r="Y1010" s="452" t="n"/>
      <c r="Z1010" s="452" t="n"/>
      <c r="AA1010" s="452" t="n"/>
      <c r="AB1010" s="452" t="n"/>
      <c r="AC1010" s="452" t="n"/>
      <c r="AD1010" s="452" t="n"/>
      <c r="AE1010" s="452" t="n"/>
      <c r="AF1010" s="452" t="n"/>
      <c r="AG1010" s="452" t="n"/>
      <c r="AH1010" s="452" t="n"/>
      <c r="AI1010" s="452" t="n"/>
      <c r="AJ1010" s="452" t="n"/>
      <c r="AK1010" s="452" t="n"/>
      <c r="AL1010" s="452" t="n"/>
      <c r="AM1010" s="452" t="n"/>
      <c r="AN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  <c r="Y1011" s="452" t="n"/>
      <c r="Z1011" s="452" t="n"/>
      <c r="AA1011" s="452" t="n"/>
      <c r="AB1011" s="452" t="n"/>
      <c r="AC1011" s="452" t="n"/>
      <c r="AD1011" s="452" t="n"/>
      <c r="AE1011" s="452" t="n"/>
      <c r="AF1011" s="452" t="n"/>
      <c r="AG1011" s="452" t="n"/>
      <c r="AH1011" s="452" t="n"/>
      <c r="AI1011" s="452" t="n"/>
      <c r="AJ1011" s="452" t="n"/>
      <c r="AK1011" s="452" t="n"/>
      <c r="AL1011" s="452" t="n"/>
      <c r="AM1011" s="452" t="n"/>
      <c r="AN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  <c r="Y1012" s="452" t="n"/>
      <c r="Z1012" s="452" t="n"/>
      <c r="AA1012" s="452" t="n"/>
      <c r="AB1012" s="452" t="n"/>
      <c r="AC1012" s="452" t="n"/>
      <c r="AD1012" s="452" t="n"/>
      <c r="AE1012" s="452" t="n"/>
      <c r="AF1012" s="452" t="n"/>
      <c r="AG1012" s="452" t="n"/>
      <c r="AH1012" s="452" t="n"/>
      <c r="AI1012" s="452" t="n"/>
      <c r="AJ1012" s="452" t="n"/>
      <c r="AK1012" s="452" t="n"/>
      <c r="AL1012" s="452" t="n"/>
      <c r="AM1012" s="452" t="n"/>
      <c r="AN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  <c r="Y1013" s="452" t="n"/>
      <c r="Z1013" s="452" t="n"/>
      <c r="AA1013" s="452" t="n"/>
      <c r="AB1013" s="452" t="n"/>
      <c r="AC1013" s="452" t="n"/>
      <c r="AD1013" s="452" t="n"/>
      <c r="AE1013" s="452" t="n"/>
      <c r="AF1013" s="452" t="n"/>
      <c r="AG1013" s="452" t="n"/>
      <c r="AH1013" s="452" t="n"/>
      <c r="AI1013" s="452" t="n"/>
      <c r="AJ1013" s="452" t="n"/>
      <c r="AK1013" s="452" t="n"/>
      <c r="AL1013" s="452" t="n"/>
      <c r="AM1013" s="452" t="n"/>
      <c r="AN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  <c r="Y1014" s="452" t="n"/>
      <c r="Z1014" s="452" t="n"/>
      <c r="AA1014" s="452" t="n"/>
      <c r="AB1014" s="452" t="n"/>
      <c r="AC1014" s="452" t="n"/>
      <c r="AD1014" s="452" t="n"/>
      <c r="AE1014" s="452" t="n"/>
      <c r="AF1014" s="452" t="n"/>
      <c r="AG1014" s="452" t="n"/>
      <c r="AH1014" s="452" t="n"/>
      <c r="AI1014" s="452" t="n"/>
      <c r="AJ1014" s="452" t="n"/>
      <c r="AK1014" s="452" t="n"/>
      <c r="AL1014" s="452" t="n"/>
      <c r="AM1014" s="452" t="n"/>
      <c r="AN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  <c r="Y1015" s="452" t="n"/>
      <c r="Z1015" s="452" t="n"/>
      <c r="AA1015" s="452" t="n"/>
      <c r="AB1015" s="452" t="n"/>
      <c r="AC1015" s="452" t="n"/>
      <c r="AD1015" s="452" t="n"/>
      <c r="AE1015" s="452" t="n"/>
      <c r="AF1015" s="452" t="n"/>
      <c r="AG1015" s="452" t="n"/>
      <c r="AH1015" s="452" t="n"/>
      <c r="AI1015" s="452" t="n"/>
      <c r="AJ1015" s="452" t="n"/>
      <c r="AK1015" s="452" t="n"/>
      <c r="AL1015" s="452" t="n"/>
      <c r="AM1015" s="452" t="n"/>
      <c r="AN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  <c r="Y1016" s="452" t="n"/>
      <c r="Z1016" s="452" t="n"/>
      <c r="AA1016" s="452" t="n"/>
      <c r="AB1016" s="452" t="n"/>
      <c r="AC1016" s="452" t="n"/>
      <c r="AD1016" s="452" t="n"/>
      <c r="AE1016" s="452" t="n"/>
      <c r="AF1016" s="452" t="n"/>
      <c r="AG1016" s="452" t="n"/>
      <c r="AH1016" s="452" t="n"/>
      <c r="AI1016" s="452" t="n"/>
      <c r="AJ1016" s="452" t="n"/>
      <c r="AK1016" s="452" t="n"/>
      <c r="AL1016" s="452" t="n"/>
      <c r="AM1016" s="452" t="n"/>
      <c r="AN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  <c r="Y1017" s="452" t="n"/>
      <c r="Z1017" s="452" t="n"/>
      <c r="AA1017" s="452" t="n"/>
      <c r="AB1017" s="452" t="n"/>
      <c r="AC1017" s="452" t="n"/>
      <c r="AD1017" s="452" t="n"/>
      <c r="AE1017" s="452" t="n"/>
      <c r="AF1017" s="452" t="n"/>
      <c r="AG1017" s="452" t="n"/>
      <c r="AH1017" s="452" t="n"/>
      <c r="AI1017" s="452" t="n"/>
      <c r="AJ1017" s="452" t="n"/>
      <c r="AK1017" s="452" t="n"/>
      <c r="AL1017" s="452" t="n"/>
      <c r="AM1017" s="452" t="n"/>
      <c r="AN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  <c r="Y1018" s="452" t="n"/>
      <c r="Z1018" s="452" t="n"/>
      <c r="AA1018" s="452" t="n"/>
      <c r="AB1018" s="452" t="n"/>
      <c r="AC1018" s="452" t="n"/>
      <c r="AD1018" s="452" t="n"/>
      <c r="AE1018" s="452" t="n"/>
      <c r="AF1018" s="452" t="n"/>
      <c r="AG1018" s="452" t="n"/>
      <c r="AH1018" s="452" t="n"/>
      <c r="AI1018" s="452" t="n"/>
      <c r="AJ1018" s="452" t="n"/>
      <c r="AK1018" s="452" t="n"/>
      <c r="AL1018" s="452" t="n"/>
      <c r="AM1018" s="452" t="n"/>
      <c r="AN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  <c r="Y1019" s="452" t="n"/>
      <c r="Z1019" s="452" t="n"/>
      <c r="AA1019" s="452" t="n"/>
      <c r="AB1019" s="452" t="n"/>
      <c r="AC1019" s="452" t="n"/>
      <c r="AD1019" s="452" t="n"/>
      <c r="AE1019" s="452" t="n"/>
      <c r="AF1019" s="452" t="n"/>
      <c r="AG1019" s="452" t="n"/>
      <c r="AH1019" s="452" t="n"/>
      <c r="AI1019" s="452" t="n"/>
      <c r="AJ1019" s="452" t="n"/>
      <c r="AK1019" s="452" t="n"/>
      <c r="AL1019" s="452" t="n"/>
      <c r="AM1019" s="452" t="n"/>
      <c r="AN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  <c r="Y1020" s="452" t="n"/>
      <c r="Z1020" s="452" t="n"/>
      <c r="AA1020" s="452" t="n"/>
      <c r="AB1020" s="452" t="n"/>
      <c r="AC1020" s="452" t="n"/>
      <c r="AD1020" s="452" t="n"/>
      <c r="AE1020" s="452" t="n"/>
      <c r="AF1020" s="452" t="n"/>
      <c r="AG1020" s="452" t="n"/>
      <c r="AH1020" s="452" t="n"/>
      <c r="AI1020" s="452" t="n"/>
      <c r="AJ1020" s="452" t="n"/>
      <c r="AK1020" s="452" t="n"/>
      <c r="AL1020" s="452" t="n"/>
      <c r="AM1020" s="452" t="n"/>
      <c r="AN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  <c r="Y1021" s="452" t="n"/>
      <c r="Z1021" s="452" t="n"/>
      <c r="AA1021" s="452" t="n"/>
      <c r="AB1021" s="452" t="n"/>
      <c r="AC1021" s="452" t="n"/>
      <c r="AD1021" s="452" t="n"/>
      <c r="AE1021" s="452" t="n"/>
      <c r="AF1021" s="452" t="n"/>
      <c r="AG1021" s="452" t="n"/>
      <c r="AH1021" s="452" t="n"/>
      <c r="AI1021" s="452" t="n"/>
      <c r="AJ1021" s="452" t="n"/>
      <c r="AK1021" s="452" t="n"/>
      <c r="AL1021" s="452" t="n"/>
      <c r="AM1021" s="452" t="n"/>
      <c r="AN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  <c r="Y1022" s="452" t="n"/>
      <c r="Z1022" s="452" t="n"/>
      <c r="AA1022" s="452" t="n"/>
      <c r="AB1022" s="452" t="n"/>
      <c r="AC1022" s="452" t="n"/>
      <c r="AD1022" s="452" t="n"/>
      <c r="AE1022" s="452" t="n"/>
      <c r="AF1022" s="452" t="n"/>
      <c r="AG1022" s="452" t="n"/>
      <c r="AH1022" s="452" t="n"/>
      <c r="AI1022" s="452" t="n"/>
      <c r="AJ1022" s="452" t="n"/>
      <c r="AK1022" s="452" t="n"/>
      <c r="AL1022" s="452" t="n"/>
      <c r="AM1022" s="452" t="n"/>
      <c r="AN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  <c r="Y1023" s="452" t="n"/>
      <c r="Z1023" s="452" t="n"/>
      <c r="AA1023" s="452" t="n"/>
      <c r="AB1023" s="452" t="n"/>
      <c r="AC1023" s="452" t="n"/>
      <c r="AD1023" s="452" t="n"/>
      <c r="AE1023" s="452" t="n"/>
      <c r="AF1023" s="452" t="n"/>
      <c r="AG1023" s="452" t="n"/>
      <c r="AH1023" s="452" t="n"/>
      <c r="AI1023" s="452" t="n"/>
      <c r="AJ1023" s="452" t="n"/>
      <c r="AK1023" s="452" t="n"/>
      <c r="AL1023" s="452" t="n"/>
      <c r="AM1023" s="452" t="n"/>
      <c r="AN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  <c r="Y1024" s="452" t="n"/>
      <c r="Z1024" s="452" t="n"/>
      <c r="AA1024" s="452" t="n"/>
      <c r="AB1024" s="452" t="n"/>
      <c r="AC1024" s="452" t="n"/>
      <c r="AD1024" s="452" t="n"/>
      <c r="AE1024" s="452" t="n"/>
      <c r="AF1024" s="452" t="n"/>
      <c r="AG1024" s="452" t="n"/>
      <c r="AH1024" s="452" t="n"/>
      <c r="AI1024" s="452" t="n"/>
      <c r="AJ1024" s="452" t="n"/>
      <c r="AK1024" s="452" t="n"/>
      <c r="AL1024" s="452" t="n"/>
      <c r="AM1024" s="452" t="n"/>
      <c r="AN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  <c r="Y1025" s="452" t="n"/>
      <c r="Z1025" s="452" t="n"/>
      <c r="AA1025" s="452" t="n"/>
      <c r="AB1025" s="452" t="n"/>
      <c r="AC1025" s="452" t="n"/>
      <c r="AD1025" s="452" t="n"/>
      <c r="AE1025" s="452" t="n"/>
      <c r="AF1025" s="452" t="n"/>
      <c r="AG1025" s="452" t="n"/>
      <c r="AH1025" s="452" t="n"/>
      <c r="AI1025" s="452" t="n"/>
      <c r="AJ1025" s="452" t="n"/>
      <c r="AK1025" s="452" t="n"/>
      <c r="AL1025" s="452" t="n"/>
      <c r="AM1025" s="452" t="n"/>
      <c r="AN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  <c r="Y1026" s="452" t="n"/>
      <c r="Z1026" s="452" t="n"/>
      <c r="AA1026" s="452" t="n"/>
      <c r="AB1026" s="452" t="n"/>
      <c r="AC1026" s="452" t="n"/>
      <c r="AD1026" s="452" t="n"/>
      <c r="AE1026" s="452" t="n"/>
      <c r="AF1026" s="452" t="n"/>
      <c r="AG1026" s="452" t="n"/>
      <c r="AH1026" s="452" t="n"/>
      <c r="AI1026" s="452" t="n"/>
      <c r="AJ1026" s="452" t="n"/>
      <c r="AK1026" s="452" t="n"/>
      <c r="AL1026" s="452" t="n"/>
      <c r="AM1026" s="452" t="n"/>
      <c r="AN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  <c r="Y1027" s="452" t="n"/>
      <c r="Z1027" s="452" t="n"/>
      <c r="AA1027" s="452" t="n"/>
      <c r="AB1027" s="452" t="n"/>
      <c r="AC1027" s="452" t="n"/>
      <c r="AD1027" s="452" t="n"/>
      <c r="AE1027" s="452" t="n"/>
      <c r="AF1027" s="452" t="n"/>
      <c r="AG1027" s="452" t="n"/>
      <c r="AH1027" s="452" t="n"/>
      <c r="AI1027" s="452" t="n"/>
      <c r="AJ1027" s="452" t="n"/>
      <c r="AK1027" s="452" t="n"/>
      <c r="AL1027" s="452" t="n"/>
      <c r="AM1027" s="452" t="n"/>
      <c r="AN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  <c r="Y1028" s="452" t="n"/>
      <c r="Z1028" s="452" t="n"/>
      <c r="AA1028" s="452" t="n"/>
      <c r="AB1028" s="452" t="n"/>
      <c r="AC1028" s="452" t="n"/>
      <c r="AD1028" s="452" t="n"/>
      <c r="AE1028" s="452" t="n"/>
      <c r="AF1028" s="452" t="n"/>
      <c r="AG1028" s="452" t="n"/>
      <c r="AH1028" s="452" t="n"/>
      <c r="AI1028" s="452" t="n"/>
      <c r="AJ1028" s="452" t="n"/>
      <c r="AK1028" s="452" t="n"/>
      <c r="AL1028" s="452" t="n"/>
      <c r="AM1028" s="452" t="n"/>
      <c r="AN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  <c r="Y1029" s="452" t="n"/>
      <c r="Z1029" s="452" t="n"/>
      <c r="AA1029" s="452" t="n"/>
      <c r="AB1029" s="452" t="n"/>
      <c r="AC1029" s="452" t="n"/>
      <c r="AD1029" s="452" t="n"/>
      <c r="AE1029" s="452" t="n"/>
      <c r="AF1029" s="452" t="n"/>
      <c r="AG1029" s="452" t="n"/>
      <c r="AH1029" s="452" t="n"/>
      <c r="AI1029" s="452" t="n"/>
      <c r="AJ1029" s="452" t="n"/>
      <c r="AK1029" s="452" t="n"/>
      <c r="AL1029" s="452" t="n"/>
      <c r="AM1029" s="452" t="n"/>
      <c r="AN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  <c r="Y1030" s="452" t="n"/>
      <c r="Z1030" s="452" t="n"/>
      <c r="AA1030" s="452" t="n"/>
      <c r="AB1030" s="452" t="n"/>
      <c r="AC1030" s="452" t="n"/>
      <c r="AD1030" s="452" t="n"/>
      <c r="AE1030" s="452" t="n"/>
      <c r="AF1030" s="452" t="n"/>
      <c r="AG1030" s="452" t="n"/>
      <c r="AH1030" s="452" t="n"/>
      <c r="AI1030" s="452" t="n"/>
      <c r="AJ1030" s="452" t="n"/>
      <c r="AK1030" s="452" t="n"/>
      <c r="AL1030" s="452" t="n"/>
      <c r="AM1030" s="452" t="n"/>
      <c r="AN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  <c r="Y1031" s="452" t="n"/>
      <c r="Z1031" s="452" t="n"/>
      <c r="AA1031" s="452" t="n"/>
      <c r="AB1031" s="452" t="n"/>
      <c r="AC1031" s="452" t="n"/>
      <c r="AD1031" s="452" t="n"/>
      <c r="AE1031" s="452" t="n"/>
      <c r="AF1031" s="452" t="n"/>
      <c r="AG1031" s="452" t="n"/>
      <c r="AH1031" s="452" t="n"/>
      <c r="AI1031" s="452" t="n"/>
      <c r="AJ1031" s="452" t="n"/>
      <c r="AK1031" s="452" t="n"/>
      <c r="AL1031" s="452" t="n"/>
      <c r="AM1031" s="452" t="n"/>
      <c r="AN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  <c r="Y1032" s="452" t="n"/>
      <c r="Z1032" s="452" t="n"/>
      <c r="AA1032" s="452" t="n"/>
      <c r="AB1032" s="452" t="n"/>
      <c r="AC1032" s="452" t="n"/>
      <c r="AD1032" s="452" t="n"/>
      <c r="AE1032" s="452" t="n"/>
      <c r="AF1032" s="452" t="n"/>
      <c r="AG1032" s="452" t="n"/>
      <c r="AH1032" s="452" t="n"/>
      <c r="AI1032" s="452" t="n"/>
      <c r="AJ1032" s="452" t="n"/>
      <c r="AK1032" s="452" t="n"/>
      <c r="AL1032" s="452" t="n"/>
      <c r="AM1032" s="452" t="n"/>
      <c r="AN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  <c r="Y1033" s="452" t="n"/>
      <c r="Z1033" s="452" t="n"/>
      <c r="AA1033" s="452" t="n"/>
      <c r="AB1033" s="452" t="n"/>
      <c r="AC1033" s="452" t="n"/>
      <c r="AD1033" s="452" t="n"/>
      <c r="AE1033" s="452" t="n"/>
      <c r="AF1033" s="452" t="n"/>
      <c r="AG1033" s="452" t="n"/>
      <c r="AH1033" s="452" t="n"/>
      <c r="AI1033" s="452" t="n"/>
      <c r="AJ1033" s="452" t="n"/>
      <c r="AK1033" s="452" t="n"/>
      <c r="AL1033" s="452" t="n"/>
      <c r="AM1033" s="452" t="n"/>
      <c r="AN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  <c r="Y1034" s="452" t="n"/>
      <c r="Z1034" s="452" t="n"/>
      <c r="AA1034" s="452" t="n"/>
      <c r="AB1034" s="452" t="n"/>
      <c r="AC1034" s="452" t="n"/>
      <c r="AD1034" s="452" t="n"/>
      <c r="AE1034" s="452" t="n"/>
      <c r="AF1034" s="452" t="n"/>
      <c r="AG1034" s="452" t="n"/>
      <c r="AH1034" s="452" t="n"/>
      <c r="AI1034" s="452" t="n"/>
      <c r="AJ1034" s="452" t="n"/>
      <c r="AK1034" s="452" t="n"/>
      <c r="AL1034" s="452" t="n"/>
      <c r="AM1034" s="452" t="n"/>
      <c r="AN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  <c r="Y1035" s="452" t="n"/>
      <c r="Z1035" s="452" t="n"/>
      <c r="AA1035" s="452" t="n"/>
      <c r="AB1035" s="452" t="n"/>
      <c r="AC1035" s="452" t="n"/>
      <c r="AD1035" s="452" t="n"/>
      <c r="AE1035" s="452" t="n"/>
      <c r="AF1035" s="452" t="n"/>
      <c r="AG1035" s="452" t="n"/>
      <c r="AH1035" s="452" t="n"/>
      <c r="AI1035" s="452" t="n"/>
      <c r="AJ1035" s="452" t="n"/>
      <c r="AK1035" s="452" t="n"/>
      <c r="AL1035" s="452" t="n"/>
      <c r="AM1035" s="452" t="n"/>
      <c r="AN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  <c r="Y1036" s="452" t="n"/>
      <c r="Z1036" s="452" t="n"/>
      <c r="AA1036" s="452" t="n"/>
      <c r="AB1036" s="452" t="n"/>
      <c r="AC1036" s="452" t="n"/>
      <c r="AD1036" s="452" t="n"/>
      <c r="AE1036" s="452" t="n"/>
      <c r="AF1036" s="452" t="n"/>
      <c r="AG1036" s="452" t="n"/>
      <c r="AH1036" s="452" t="n"/>
      <c r="AI1036" s="452" t="n"/>
      <c r="AJ1036" s="452" t="n"/>
      <c r="AK1036" s="452" t="n"/>
      <c r="AL1036" s="452" t="n"/>
      <c r="AM1036" s="452" t="n"/>
      <c r="AN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  <c r="Y1037" s="452" t="n"/>
      <c r="Z1037" s="452" t="n"/>
      <c r="AA1037" s="452" t="n"/>
      <c r="AB1037" s="452" t="n"/>
      <c r="AC1037" s="452" t="n"/>
      <c r="AD1037" s="452" t="n"/>
      <c r="AE1037" s="452" t="n"/>
      <c r="AF1037" s="452" t="n"/>
      <c r="AG1037" s="452" t="n"/>
      <c r="AH1037" s="452" t="n"/>
      <c r="AI1037" s="452" t="n"/>
      <c r="AJ1037" s="452" t="n"/>
      <c r="AK1037" s="452" t="n"/>
      <c r="AL1037" s="452" t="n"/>
      <c r="AM1037" s="452" t="n"/>
      <c r="AN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  <c r="Y1038" s="452" t="n"/>
      <c r="Z1038" s="452" t="n"/>
      <c r="AA1038" s="452" t="n"/>
      <c r="AB1038" s="452" t="n"/>
      <c r="AC1038" s="452" t="n"/>
      <c r="AD1038" s="452" t="n"/>
      <c r="AE1038" s="452" t="n"/>
      <c r="AF1038" s="452" t="n"/>
      <c r="AG1038" s="452" t="n"/>
      <c r="AH1038" s="452" t="n"/>
      <c r="AI1038" s="452" t="n"/>
      <c r="AJ1038" s="452" t="n"/>
      <c r="AK1038" s="452" t="n"/>
      <c r="AL1038" s="452" t="n"/>
      <c r="AM1038" s="452" t="n"/>
      <c r="AN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  <c r="Y1039" s="452" t="n"/>
      <c r="Z1039" s="452" t="n"/>
      <c r="AA1039" s="452" t="n"/>
      <c r="AB1039" s="452" t="n"/>
      <c r="AC1039" s="452" t="n"/>
      <c r="AD1039" s="452" t="n"/>
      <c r="AE1039" s="452" t="n"/>
      <c r="AF1039" s="452" t="n"/>
      <c r="AG1039" s="452" t="n"/>
      <c r="AH1039" s="452" t="n"/>
      <c r="AI1039" s="452" t="n"/>
      <c r="AJ1039" s="452" t="n"/>
      <c r="AK1039" s="452" t="n"/>
      <c r="AL1039" s="452" t="n"/>
      <c r="AM1039" s="452" t="n"/>
      <c r="AN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  <c r="Y1040" s="452" t="n"/>
      <c r="Z1040" s="452" t="n"/>
      <c r="AA1040" s="452" t="n"/>
      <c r="AB1040" s="452" t="n"/>
      <c r="AC1040" s="452" t="n"/>
      <c r="AD1040" s="452" t="n"/>
      <c r="AE1040" s="452" t="n"/>
      <c r="AF1040" s="452" t="n"/>
      <c r="AG1040" s="452" t="n"/>
      <c r="AH1040" s="452" t="n"/>
      <c r="AI1040" s="452" t="n"/>
      <c r="AJ1040" s="452" t="n"/>
      <c r="AK1040" s="452" t="n"/>
      <c r="AL1040" s="452" t="n"/>
      <c r="AM1040" s="452" t="n"/>
      <c r="AN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  <c r="Y1041" s="452" t="n"/>
      <c r="Z1041" s="452" t="n"/>
      <c r="AA1041" s="452" t="n"/>
      <c r="AB1041" s="452" t="n"/>
      <c r="AC1041" s="452" t="n"/>
      <c r="AD1041" s="452" t="n"/>
      <c r="AE1041" s="452" t="n"/>
      <c r="AF1041" s="452" t="n"/>
      <c r="AG1041" s="452" t="n"/>
      <c r="AH1041" s="452" t="n"/>
      <c r="AI1041" s="452" t="n"/>
      <c r="AJ1041" s="452" t="n"/>
      <c r="AK1041" s="452" t="n"/>
      <c r="AL1041" s="452" t="n"/>
      <c r="AM1041" s="452" t="n"/>
      <c r="AN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  <c r="Y1042" s="452" t="n"/>
      <c r="Z1042" s="452" t="n"/>
      <c r="AA1042" s="452" t="n"/>
      <c r="AB1042" s="452" t="n"/>
      <c r="AC1042" s="452" t="n"/>
      <c r="AD1042" s="452" t="n"/>
      <c r="AE1042" s="452" t="n"/>
      <c r="AF1042" s="452" t="n"/>
      <c r="AG1042" s="452" t="n"/>
      <c r="AH1042" s="452" t="n"/>
      <c r="AI1042" s="452" t="n"/>
      <c r="AJ1042" s="452" t="n"/>
      <c r="AK1042" s="452" t="n"/>
      <c r="AL1042" s="452" t="n"/>
      <c r="AM1042" s="452" t="n"/>
      <c r="AN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  <c r="Y1043" s="452" t="n"/>
      <c r="Z1043" s="452" t="n"/>
      <c r="AA1043" s="452" t="n"/>
      <c r="AB1043" s="452" t="n"/>
      <c r="AC1043" s="452" t="n"/>
      <c r="AD1043" s="452" t="n"/>
      <c r="AE1043" s="452" t="n"/>
      <c r="AF1043" s="452" t="n"/>
      <c r="AG1043" s="452" t="n"/>
      <c r="AH1043" s="452" t="n"/>
      <c r="AI1043" s="452" t="n"/>
      <c r="AJ1043" s="452" t="n"/>
      <c r="AK1043" s="452" t="n"/>
      <c r="AL1043" s="452" t="n"/>
      <c r="AM1043" s="452" t="n"/>
      <c r="AN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  <c r="Y1044" s="452" t="n"/>
      <c r="Z1044" s="452" t="n"/>
      <c r="AA1044" s="452" t="n"/>
      <c r="AB1044" s="452" t="n"/>
      <c r="AC1044" s="452" t="n"/>
      <c r="AD1044" s="452" t="n"/>
      <c r="AE1044" s="452" t="n"/>
      <c r="AF1044" s="452" t="n"/>
      <c r="AG1044" s="452" t="n"/>
      <c r="AH1044" s="452" t="n"/>
      <c r="AI1044" s="452" t="n"/>
      <c r="AJ1044" s="452" t="n"/>
      <c r="AK1044" s="452" t="n"/>
      <c r="AL1044" s="452" t="n"/>
      <c r="AM1044" s="452" t="n"/>
      <c r="AN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  <c r="Y1045" s="452" t="n"/>
      <c r="Z1045" s="452" t="n"/>
      <c r="AA1045" s="452" t="n"/>
      <c r="AB1045" s="452" t="n"/>
      <c r="AC1045" s="452" t="n"/>
      <c r="AD1045" s="452" t="n"/>
      <c r="AE1045" s="452" t="n"/>
      <c r="AF1045" s="452" t="n"/>
      <c r="AG1045" s="452" t="n"/>
      <c r="AH1045" s="452" t="n"/>
      <c r="AI1045" s="452" t="n"/>
      <c r="AJ1045" s="452" t="n"/>
      <c r="AK1045" s="452" t="n"/>
      <c r="AL1045" s="452" t="n"/>
      <c r="AM1045" s="452" t="n"/>
      <c r="AN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  <c r="Y1046" s="452" t="n"/>
      <c r="Z1046" s="452" t="n"/>
      <c r="AA1046" s="452" t="n"/>
      <c r="AB1046" s="452" t="n"/>
      <c r="AC1046" s="452" t="n"/>
      <c r="AD1046" s="452" t="n"/>
      <c r="AE1046" s="452" t="n"/>
      <c r="AF1046" s="452" t="n"/>
      <c r="AG1046" s="452" t="n"/>
      <c r="AH1046" s="452" t="n"/>
      <c r="AI1046" s="452" t="n"/>
      <c r="AJ1046" s="452" t="n"/>
      <c r="AK1046" s="452" t="n"/>
      <c r="AL1046" s="452" t="n"/>
      <c r="AM1046" s="452" t="n"/>
      <c r="AN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  <c r="Y1047" s="452" t="n"/>
      <c r="Z1047" s="452" t="n"/>
      <c r="AA1047" s="452" t="n"/>
      <c r="AB1047" s="452" t="n"/>
      <c r="AC1047" s="452" t="n"/>
      <c r="AD1047" s="452" t="n"/>
      <c r="AE1047" s="452" t="n"/>
      <c r="AF1047" s="452" t="n"/>
      <c r="AG1047" s="452" t="n"/>
      <c r="AH1047" s="452" t="n"/>
      <c r="AI1047" s="452" t="n"/>
      <c r="AJ1047" s="452" t="n"/>
      <c r="AK1047" s="452" t="n"/>
      <c r="AL1047" s="452" t="n"/>
      <c r="AM1047" s="452" t="n"/>
      <c r="AN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  <c r="Y1048" s="452" t="n"/>
      <c r="Z1048" s="452" t="n"/>
      <c r="AA1048" s="452" t="n"/>
      <c r="AB1048" s="452" t="n"/>
      <c r="AC1048" s="452" t="n"/>
      <c r="AD1048" s="452" t="n"/>
      <c r="AE1048" s="452" t="n"/>
      <c r="AF1048" s="452" t="n"/>
      <c r="AG1048" s="452" t="n"/>
      <c r="AH1048" s="452" t="n"/>
      <c r="AI1048" s="452" t="n"/>
      <c r="AJ1048" s="452" t="n"/>
      <c r="AK1048" s="452" t="n"/>
      <c r="AL1048" s="452" t="n"/>
      <c r="AM1048" s="452" t="n"/>
      <c r="AN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  <c r="Y1049" s="452" t="n"/>
      <c r="Z1049" s="452" t="n"/>
      <c r="AA1049" s="452" t="n"/>
      <c r="AB1049" s="452" t="n"/>
      <c r="AC1049" s="452" t="n"/>
      <c r="AD1049" s="452" t="n"/>
      <c r="AE1049" s="452" t="n"/>
      <c r="AF1049" s="452" t="n"/>
      <c r="AG1049" s="452" t="n"/>
      <c r="AH1049" s="452" t="n"/>
      <c r="AI1049" s="452" t="n"/>
      <c r="AJ1049" s="452" t="n"/>
      <c r="AK1049" s="452" t="n"/>
      <c r="AL1049" s="452" t="n"/>
      <c r="AM1049" s="452" t="n"/>
      <c r="AN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  <c r="Y1050" s="452" t="n"/>
      <c r="Z1050" s="452" t="n"/>
      <c r="AA1050" s="452" t="n"/>
      <c r="AB1050" s="452" t="n"/>
      <c r="AC1050" s="452" t="n"/>
      <c r="AD1050" s="452" t="n"/>
      <c r="AE1050" s="452" t="n"/>
      <c r="AF1050" s="452" t="n"/>
      <c r="AG1050" s="452" t="n"/>
      <c r="AH1050" s="452" t="n"/>
      <c r="AI1050" s="452" t="n"/>
      <c r="AJ1050" s="452" t="n"/>
      <c r="AK1050" s="452" t="n"/>
      <c r="AL1050" s="452" t="n"/>
      <c r="AM1050" s="452" t="n"/>
      <c r="AN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  <c r="Y1051" s="452" t="n"/>
      <c r="Z1051" s="452" t="n"/>
      <c r="AA1051" s="452" t="n"/>
      <c r="AB1051" s="452" t="n"/>
      <c r="AC1051" s="452" t="n"/>
      <c r="AD1051" s="452" t="n"/>
      <c r="AE1051" s="452" t="n"/>
      <c r="AF1051" s="452" t="n"/>
      <c r="AG1051" s="452" t="n"/>
      <c r="AH1051" s="452" t="n"/>
      <c r="AI1051" s="452" t="n"/>
      <c r="AJ1051" s="452" t="n"/>
      <c r="AK1051" s="452" t="n"/>
      <c r="AL1051" s="452" t="n"/>
      <c r="AM1051" s="452" t="n"/>
      <c r="AN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  <c r="Y1052" s="452" t="n"/>
      <c r="Z1052" s="452" t="n"/>
      <c r="AA1052" s="452" t="n"/>
      <c r="AB1052" s="452" t="n"/>
      <c r="AC1052" s="452" t="n"/>
      <c r="AD1052" s="452" t="n"/>
      <c r="AE1052" s="452" t="n"/>
      <c r="AF1052" s="452" t="n"/>
      <c r="AG1052" s="452" t="n"/>
      <c r="AH1052" s="452" t="n"/>
      <c r="AI1052" s="452" t="n"/>
      <c r="AJ1052" s="452" t="n"/>
      <c r="AK1052" s="452" t="n"/>
      <c r="AL1052" s="452" t="n"/>
      <c r="AM1052" s="452" t="n"/>
      <c r="AN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  <c r="Y1053" s="452" t="n"/>
      <c r="Z1053" s="452" t="n"/>
      <c r="AA1053" s="452" t="n"/>
      <c r="AB1053" s="452" t="n"/>
      <c r="AC1053" s="452" t="n"/>
      <c r="AD1053" s="452" t="n"/>
      <c r="AE1053" s="452" t="n"/>
      <c r="AF1053" s="452" t="n"/>
      <c r="AG1053" s="452" t="n"/>
      <c r="AH1053" s="452" t="n"/>
      <c r="AI1053" s="452" t="n"/>
      <c r="AJ1053" s="452" t="n"/>
      <c r="AK1053" s="452" t="n"/>
      <c r="AL1053" s="452" t="n"/>
      <c r="AM1053" s="452" t="n"/>
      <c r="AN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  <c r="Y1054" s="452" t="n"/>
      <c r="Z1054" s="452" t="n"/>
      <c r="AA1054" s="452" t="n"/>
      <c r="AB1054" s="452" t="n"/>
      <c r="AC1054" s="452" t="n"/>
      <c r="AD1054" s="452" t="n"/>
      <c r="AE1054" s="452" t="n"/>
      <c r="AF1054" s="452" t="n"/>
      <c r="AG1054" s="452" t="n"/>
      <c r="AH1054" s="452" t="n"/>
      <c r="AI1054" s="452" t="n"/>
      <c r="AJ1054" s="452" t="n"/>
      <c r="AK1054" s="452" t="n"/>
      <c r="AL1054" s="452" t="n"/>
      <c r="AM1054" s="452" t="n"/>
      <c r="AN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  <c r="Y1055" s="452" t="n"/>
      <c r="Z1055" s="452" t="n"/>
      <c r="AA1055" s="452" t="n"/>
      <c r="AB1055" s="452" t="n"/>
      <c r="AC1055" s="452" t="n"/>
      <c r="AD1055" s="452" t="n"/>
      <c r="AE1055" s="452" t="n"/>
      <c r="AF1055" s="452" t="n"/>
      <c r="AG1055" s="452" t="n"/>
      <c r="AH1055" s="452" t="n"/>
      <c r="AI1055" s="452" t="n"/>
      <c r="AJ1055" s="452" t="n"/>
      <c r="AK1055" s="452" t="n"/>
      <c r="AL1055" s="452" t="n"/>
      <c r="AM1055" s="452" t="n"/>
      <c r="AN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  <c r="Y1056" s="452" t="n"/>
      <c r="Z1056" s="452" t="n"/>
      <c r="AA1056" s="452" t="n"/>
      <c r="AB1056" s="452" t="n"/>
      <c r="AC1056" s="452" t="n"/>
      <c r="AD1056" s="452" t="n"/>
      <c r="AE1056" s="452" t="n"/>
      <c r="AF1056" s="452" t="n"/>
      <c r="AG1056" s="452" t="n"/>
      <c r="AH1056" s="452" t="n"/>
      <c r="AI1056" s="452" t="n"/>
      <c r="AJ1056" s="452" t="n"/>
      <c r="AK1056" s="452" t="n"/>
      <c r="AL1056" s="452" t="n"/>
      <c r="AM1056" s="452" t="n"/>
      <c r="AN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  <c r="Y1057" s="452" t="n"/>
      <c r="Z1057" s="452" t="n"/>
      <c r="AA1057" s="452" t="n"/>
      <c r="AB1057" s="452" t="n"/>
      <c r="AC1057" s="452" t="n"/>
      <c r="AD1057" s="452" t="n"/>
      <c r="AE1057" s="452" t="n"/>
      <c r="AF1057" s="452" t="n"/>
      <c r="AG1057" s="452" t="n"/>
      <c r="AH1057" s="452" t="n"/>
      <c r="AI1057" s="452" t="n"/>
      <c r="AJ1057" s="452" t="n"/>
      <c r="AK1057" s="452" t="n"/>
      <c r="AL1057" s="452" t="n"/>
      <c r="AM1057" s="452" t="n"/>
      <c r="AN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  <c r="Y1058" s="452" t="n"/>
      <c r="Z1058" s="452" t="n"/>
      <c r="AA1058" s="452" t="n"/>
      <c r="AB1058" s="452" t="n"/>
      <c r="AC1058" s="452" t="n"/>
      <c r="AD1058" s="452" t="n"/>
      <c r="AE1058" s="452" t="n"/>
      <c r="AF1058" s="452" t="n"/>
      <c r="AG1058" s="452" t="n"/>
      <c r="AH1058" s="452" t="n"/>
      <c r="AI1058" s="452" t="n"/>
      <c r="AJ1058" s="452" t="n"/>
      <c r="AK1058" s="452" t="n"/>
      <c r="AL1058" s="452" t="n"/>
      <c r="AM1058" s="452" t="n"/>
      <c r="AN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  <c r="Y1059" s="452" t="n"/>
      <c r="Z1059" s="452" t="n"/>
      <c r="AA1059" s="452" t="n"/>
      <c r="AB1059" s="452" t="n"/>
      <c r="AC1059" s="452" t="n"/>
      <c r="AD1059" s="452" t="n"/>
      <c r="AE1059" s="452" t="n"/>
      <c r="AF1059" s="452" t="n"/>
      <c r="AG1059" s="452" t="n"/>
      <c r="AH1059" s="452" t="n"/>
      <c r="AI1059" s="452" t="n"/>
      <c r="AJ1059" s="452" t="n"/>
      <c r="AK1059" s="452" t="n"/>
      <c r="AL1059" s="452" t="n"/>
      <c r="AM1059" s="452" t="n"/>
      <c r="AN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  <c r="Y1060" s="452" t="n"/>
      <c r="Z1060" s="452" t="n"/>
      <c r="AA1060" s="452" t="n"/>
      <c r="AB1060" s="452" t="n"/>
      <c r="AC1060" s="452" t="n"/>
      <c r="AD1060" s="452" t="n"/>
      <c r="AE1060" s="452" t="n"/>
      <c r="AF1060" s="452" t="n"/>
      <c r="AG1060" s="452" t="n"/>
      <c r="AH1060" s="452" t="n"/>
      <c r="AI1060" s="452" t="n"/>
      <c r="AJ1060" s="452" t="n"/>
      <c r="AK1060" s="452" t="n"/>
      <c r="AL1060" s="452" t="n"/>
      <c r="AM1060" s="452" t="n"/>
      <c r="AN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  <c r="Y1061" s="452" t="n"/>
      <c r="Z1061" s="452" t="n"/>
      <c r="AA1061" s="452" t="n"/>
      <c r="AB1061" s="452" t="n"/>
      <c r="AC1061" s="452" t="n"/>
      <c r="AD1061" s="452" t="n"/>
      <c r="AE1061" s="452" t="n"/>
      <c r="AF1061" s="452" t="n"/>
      <c r="AG1061" s="452" t="n"/>
      <c r="AH1061" s="452" t="n"/>
      <c r="AI1061" s="452" t="n"/>
      <c r="AJ1061" s="452" t="n"/>
      <c r="AK1061" s="452" t="n"/>
      <c r="AL1061" s="452" t="n"/>
      <c r="AM1061" s="452" t="n"/>
      <c r="AN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  <c r="Y1062" s="452" t="n"/>
      <c r="Z1062" s="452" t="n"/>
      <c r="AA1062" s="452" t="n"/>
      <c r="AB1062" s="452" t="n"/>
      <c r="AC1062" s="452" t="n"/>
      <c r="AD1062" s="452" t="n"/>
      <c r="AE1062" s="452" t="n"/>
      <c r="AF1062" s="452" t="n"/>
      <c r="AG1062" s="452" t="n"/>
      <c r="AH1062" s="452" t="n"/>
      <c r="AI1062" s="452" t="n"/>
      <c r="AJ1062" s="452" t="n"/>
      <c r="AK1062" s="452" t="n"/>
      <c r="AL1062" s="452" t="n"/>
      <c r="AM1062" s="452" t="n"/>
      <c r="AN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  <c r="Y1063" s="452" t="n"/>
      <c r="Z1063" s="452" t="n"/>
      <c r="AA1063" s="452" t="n"/>
      <c r="AB1063" s="452" t="n"/>
      <c r="AC1063" s="452" t="n"/>
      <c r="AD1063" s="452" t="n"/>
      <c r="AE1063" s="452" t="n"/>
      <c r="AF1063" s="452" t="n"/>
      <c r="AG1063" s="452" t="n"/>
      <c r="AH1063" s="452" t="n"/>
      <c r="AI1063" s="452" t="n"/>
      <c r="AJ1063" s="452" t="n"/>
      <c r="AK1063" s="452" t="n"/>
      <c r="AL1063" s="452" t="n"/>
      <c r="AM1063" s="452" t="n"/>
      <c r="AN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  <c r="Y1064" s="452" t="n"/>
      <c r="Z1064" s="452" t="n"/>
      <c r="AA1064" s="452" t="n"/>
      <c r="AB1064" s="452" t="n"/>
      <c r="AC1064" s="452" t="n"/>
      <c r="AD1064" s="452" t="n"/>
      <c r="AE1064" s="452" t="n"/>
      <c r="AF1064" s="452" t="n"/>
      <c r="AG1064" s="452" t="n"/>
      <c r="AH1064" s="452" t="n"/>
      <c r="AI1064" s="452" t="n"/>
      <c r="AJ1064" s="452" t="n"/>
      <c r="AK1064" s="452" t="n"/>
      <c r="AL1064" s="452" t="n"/>
      <c r="AM1064" s="452" t="n"/>
      <c r="AN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  <c r="Y1065" s="452" t="n"/>
      <c r="Z1065" s="452" t="n"/>
      <c r="AA1065" s="452" t="n"/>
      <c r="AB1065" s="452" t="n"/>
      <c r="AC1065" s="452" t="n"/>
      <c r="AD1065" s="452" t="n"/>
      <c r="AE1065" s="452" t="n"/>
      <c r="AF1065" s="452" t="n"/>
      <c r="AG1065" s="452" t="n"/>
      <c r="AH1065" s="452" t="n"/>
      <c r="AI1065" s="452" t="n"/>
      <c r="AJ1065" s="452" t="n"/>
      <c r="AK1065" s="452" t="n"/>
      <c r="AL1065" s="452" t="n"/>
      <c r="AM1065" s="452" t="n"/>
      <c r="AN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  <c r="Y1066" s="452" t="n"/>
      <c r="Z1066" s="452" t="n"/>
      <c r="AA1066" s="452" t="n"/>
      <c r="AB1066" s="452" t="n"/>
      <c r="AC1066" s="452" t="n"/>
      <c r="AD1066" s="452" t="n"/>
      <c r="AE1066" s="452" t="n"/>
      <c r="AF1066" s="452" t="n"/>
      <c r="AG1066" s="452" t="n"/>
      <c r="AH1066" s="452" t="n"/>
      <c r="AI1066" s="452" t="n"/>
      <c r="AJ1066" s="452" t="n"/>
      <c r="AK1066" s="452" t="n"/>
      <c r="AL1066" s="452" t="n"/>
      <c r="AM1066" s="452" t="n"/>
      <c r="AN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  <c r="Y1067" s="452" t="n"/>
      <c r="Z1067" s="452" t="n"/>
      <c r="AA1067" s="452" t="n"/>
      <c r="AB1067" s="452" t="n"/>
      <c r="AC1067" s="452" t="n"/>
      <c r="AD1067" s="452" t="n"/>
      <c r="AE1067" s="452" t="n"/>
      <c r="AF1067" s="452" t="n"/>
      <c r="AG1067" s="452" t="n"/>
      <c r="AH1067" s="452" t="n"/>
      <c r="AI1067" s="452" t="n"/>
      <c r="AJ1067" s="452" t="n"/>
      <c r="AK1067" s="452" t="n"/>
      <c r="AL1067" s="452" t="n"/>
      <c r="AM1067" s="452" t="n"/>
      <c r="AN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  <c r="Y1068" s="452" t="n"/>
      <c r="Z1068" s="452" t="n"/>
      <c r="AA1068" s="452" t="n"/>
      <c r="AB1068" s="452" t="n"/>
      <c r="AC1068" s="452" t="n"/>
      <c r="AD1068" s="452" t="n"/>
      <c r="AE1068" s="452" t="n"/>
      <c r="AF1068" s="452" t="n"/>
      <c r="AG1068" s="452" t="n"/>
      <c r="AH1068" s="452" t="n"/>
      <c r="AI1068" s="452" t="n"/>
      <c r="AJ1068" s="452" t="n"/>
      <c r="AK1068" s="452" t="n"/>
      <c r="AL1068" s="452" t="n"/>
      <c r="AM1068" s="452" t="n"/>
      <c r="AN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  <c r="Y1069" s="452" t="n"/>
      <c r="Z1069" s="452" t="n"/>
      <c r="AA1069" s="452" t="n"/>
      <c r="AB1069" s="452" t="n"/>
      <c r="AC1069" s="452" t="n"/>
      <c r="AD1069" s="452" t="n"/>
      <c r="AE1069" s="452" t="n"/>
      <c r="AF1069" s="452" t="n"/>
      <c r="AG1069" s="452" t="n"/>
      <c r="AH1069" s="452" t="n"/>
      <c r="AI1069" s="452" t="n"/>
      <c r="AJ1069" s="452" t="n"/>
      <c r="AK1069" s="452" t="n"/>
      <c r="AL1069" s="452" t="n"/>
      <c r="AM1069" s="452" t="n"/>
      <c r="AN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  <c r="Y1070" s="452" t="n"/>
      <c r="Z1070" s="452" t="n"/>
      <c r="AA1070" s="452" t="n"/>
      <c r="AB1070" s="452" t="n"/>
      <c r="AC1070" s="452" t="n"/>
      <c r="AD1070" s="452" t="n"/>
      <c r="AE1070" s="452" t="n"/>
      <c r="AF1070" s="452" t="n"/>
      <c r="AG1070" s="452" t="n"/>
      <c r="AH1070" s="452" t="n"/>
      <c r="AI1070" s="452" t="n"/>
      <c r="AJ1070" s="452" t="n"/>
      <c r="AK1070" s="452" t="n"/>
      <c r="AL1070" s="452" t="n"/>
      <c r="AM1070" s="452" t="n"/>
      <c r="AN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  <c r="Y1071" s="452" t="n"/>
      <c r="Z1071" s="452" t="n"/>
      <c r="AA1071" s="452" t="n"/>
      <c r="AB1071" s="452" t="n"/>
      <c r="AC1071" s="452" t="n"/>
      <c r="AD1071" s="452" t="n"/>
      <c r="AE1071" s="452" t="n"/>
      <c r="AF1071" s="452" t="n"/>
      <c r="AG1071" s="452" t="n"/>
      <c r="AH1071" s="452" t="n"/>
      <c r="AI1071" s="452" t="n"/>
      <c r="AJ1071" s="452" t="n"/>
      <c r="AK1071" s="452" t="n"/>
      <c r="AL1071" s="452" t="n"/>
      <c r="AM1071" s="452" t="n"/>
      <c r="AN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  <c r="Y1072" s="452" t="n"/>
      <c r="Z1072" s="452" t="n"/>
      <c r="AA1072" s="452" t="n"/>
      <c r="AB1072" s="452" t="n"/>
      <c r="AC1072" s="452" t="n"/>
      <c r="AD1072" s="452" t="n"/>
      <c r="AE1072" s="452" t="n"/>
      <c r="AF1072" s="452" t="n"/>
      <c r="AG1072" s="452" t="n"/>
      <c r="AH1072" s="452" t="n"/>
      <c r="AI1072" s="452" t="n"/>
      <c r="AJ1072" s="452" t="n"/>
      <c r="AK1072" s="452" t="n"/>
      <c r="AL1072" s="452" t="n"/>
      <c r="AM1072" s="452" t="n"/>
      <c r="AN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  <c r="Y1073" s="452" t="n"/>
      <c r="Z1073" s="452" t="n"/>
      <c r="AA1073" s="452" t="n"/>
      <c r="AB1073" s="452" t="n"/>
      <c r="AC1073" s="452" t="n"/>
      <c r="AD1073" s="452" t="n"/>
      <c r="AE1073" s="452" t="n"/>
      <c r="AF1073" s="452" t="n"/>
      <c r="AG1073" s="452" t="n"/>
      <c r="AH1073" s="452" t="n"/>
      <c r="AI1073" s="452" t="n"/>
      <c r="AJ1073" s="452" t="n"/>
      <c r="AK1073" s="452" t="n"/>
      <c r="AL1073" s="452" t="n"/>
      <c r="AM1073" s="452" t="n"/>
      <c r="AN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  <c r="Y1074" s="452" t="n"/>
      <c r="Z1074" s="452" t="n"/>
      <c r="AA1074" s="452" t="n"/>
      <c r="AB1074" s="452" t="n"/>
      <c r="AC1074" s="452" t="n"/>
      <c r="AD1074" s="452" t="n"/>
      <c r="AE1074" s="452" t="n"/>
      <c r="AF1074" s="452" t="n"/>
      <c r="AG1074" s="452" t="n"/>
      <c r="AH1074" s="452" t="n"/>
      <c r="AI1074" s="452" t="n"/>
      <c r="AJ1074" s="452" t="n"/>
      <c r="AK1074" s="452" t="n"/>
      <c r="AL1074" s="452" t="n"/>
      <c r="AM1074" s="452" t="n"/>
      <c r="AN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  <c r="Y1075" s="452" t="n"/>
      <c r="Z1075" s="452" t="n"/>
      <c r="AA1075" s="452" t="n"/>
      <c r="AB1075" s="452" t="n"/>
      <c r="AC1075" s="452" t="n"/>
      <c r="AD1075" s="452" t="n"/>
      <c r="AE1075" s="452" t="n"/>
      <c r="AF1075" s="452" t="n"/>
      <c r="AG1075" s="452" t="n"/>
      <c r="AH1075" s="452" t="n"/>
      <c r="AI1075" s="452" t="n"/>
      <c r="AJ1075" s="452" t="n"/>
      <c r="AK1075" s="452" t="n"/>
      <c r="AL1075" s="452" t="n"/>
      <c r="AM1075" s="452" t="n"/>
      <c r="AN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  <c r="Y1076" s="452" t="n"/>
      <c r="Z1076" s="452" t="n"/>
      <c r="AA1076" s="452" t="n"/>
      <c r="AB1076" s="452" t="n"/>
      <c r="AC1076" s="452" t="n"/>
      <c r="AD1076" s="452" t="n"/>
      <c r="AE1076" s="452" t="n"/>
      <c r="AF1076" s="452" t="n"/>
      <c r="AG1076" s="452" t="n"/>
      <c r="AH1076" s="452" t="n"/>
      <c r="AI1076" s="452" t="n"/>
      <c r="AJ1076" s="452" t="n"/>
      <c r="AK1076" s="452" t="n"/>
      <c r="AL1076" s="452" t="n"/>
      <c r="AM1076" s="452" t="n"/>
      <c r="AN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  <c r="Y1077" s="452" t="n"/>
      <c r="Z1077" s="452" t="n"/>
      <c r="AA1077" s="452" t="n"/>
      <c r="AB1077" s="452" t="n"/>
      <c r="AC1077" s="452" t="n"/>
      <c r="AD1077" s="452" t="n"/>
      <c r="AE1077" s="452" t="n"/>
      <c r="AF1077" s="452" t="n"/>
      <c r="AG1077" s="452" t="n"/>
      <c r="AH1077" s="452" t="n"/>
      <c r="AI1077" s="452" t="n"/>
      <c r="AJ1077" s="452" t="n"/>
      <c r="AK1077" s="452" t="n"/>
      <c r="AL1077" s="452" t="n"/>
      <c r="AM1077" s="452" t="n"/>
      <c r="AN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  <c r="Y1078" s="452" t="n"/>
      <c r="Z1078" s="452" t="n"/>
      <c r="AA1078" s="452" t="n"/>
      <c r="AB1078" s="452" t="n"/>
      <c r="AC1078" s="452" t="n"/>
      <c r="AD1078" s="452" t="n"/>
      <c r="AE1078" s="452" t="n"/>
      <c r="AF1078" s="452" t="n"/>
      <c r="AG1078" s="452" t="n"/>
      <c r="AH1078" s="452" t="n"/>
      <c r="AI1078" s="452" t="n"/>
      <c r="AJ1078" s="452" t="n"/>
      <c r="AK1078" s="452" t="n"/>
      <c r="AL1078" s="452" t="n"/>
      <c r="AM1078" s="452" t="n"/>
      <c r="AN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  <c r="Y1079" s="452" t="n"/>
      <c r="Z1079" s="452" t="n"/>
      <c r="AA1079" s="452" t="n"/>
      <c r="AB1079" s="452" t="n"/>
      <c r="AC1079" s="452" t="n"/>
      <c r="AD1079" s="452" t="n"/>
      <c r="AE1079" s="452" t="n"/>
      <c r="AF1079" s="452" t="n"/>
      <c r="AG1079" s="452" t="n"/>
      <c r="AH1079" s="452" t="n"/>
      <c r="AI1079" s="452" t="n"/>
      <c r="AJ1079" s="452" t="n"/>
      <c r="AK1079" s="452" t="n"/>
      <c r="AL1079" s="452" t="n"/>
      <c r="AM1079" s="452" t="n"/>
      <c r="AN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  <c r="Y1080" s="452" t="n"/>
      <c r="Z1080" s="452" t="n"/>
      <c r="AA1080" s="452" t="n"/>
      <c r="AB1080" s="452" t="n"/>
      <c r="AC1080" s="452" t="n"/>
      <c r="AD1080" s="452" t="n"/>
      <c r="AE1080" s="452" t="n"/>
      <c r="AF1080" s="452" t="n"/>
      <c r="AG1080" s="452" t="n"/>
      <c r="AH1080" s="452" t="n"/>
      <c r="AI1080" s="452" t="n"/>
      <c r="AJ1080" s="452" t="n"/>
      <c r="AK1080" s="452" t="n"/>
      <c r="AL1080" s="452" t="n"/>
      <c r="AM1080" s="452" t="n"/>
      <c r="AN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  <c r="Y1081" s="452" t="n"/>
      <c r="Z1081" s="452" t="n"/>
      <c r="AA1081" s="452" t="n"/>
      <c r="AB1081" s="452" t="n"/>
      <c r="AC1081" s="452" t="n"/>
      <c r="AD1081" s="452" t="n"/>
      <c r="AE1081" s="452" t="n"/>
      <c r="AF1081" s="452" t="n"/>
      <c r="AG1081" s="452" t="n"/>
      <c r="AH1081" s="452" t="n"/>
      <c r="AI1081" s="452" t="n"/>
      <c r="AJ1081" s="452" t="n"/>
      <c r="AK1081" s="452" t="n"/>
      <c r="AL1081" s="452" t="n"/>
      <c r="AM1081" s="452" t="n"/>
      <c r="AN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  <c r="Y1082" s="452" t="n"/>
      <c r="Z1082" s="452" t="n"/>
      <c r="AA1082" s="452" t="n"/>
      <c r="AB1082" s="452" t="n"/>
      <c r="AC1082" s="452" t="n"/>
      <c r="AD1082" s="452" t="n"/>
      <c r="AE1082" s="452" t="n"/>
      <c r="AF1082" s="452" t="n"/>
      <c r="AG1082" s="452" t="n"/>
      <c r="AH1082" s="452" t="n"/>
      <c r="AI1082" s="452" t="n"/>
      <c r="AJ1082" s="452" t="n"/>
      <c r="AK1082" s="452" t="n"/>
      <c r="AL1082" s="452" t="n"/>
      <c r="AM1082" s="452" t="n"/>
      <c r="AN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  <c r="Y1083" s="452" t="n"/>
      <c r="Z1083" s="452" t="n"/>
      <c r="AA1083" s="452" t="n"/>
      <c r="AB1083" s="452" t="n"/>
      <c r="AC1083" s="452" t="n"/>
      <c r="AD1083" s="452" t="n"/>
      <c r="AE1083" s="452" t="n"/>
      <c r="AF1083" s="452" t="n"/>
      <c r="AG1083" s="452" t="n"/>
      <c r="AH1083" s="452" t="n"/>
      <c r="AI1083" s="452" t="n"/>
      <c r="AJ1083" s="452" t="n"/>
      <c r="AK1083" s="452" t="n"/>
      <c r="AL1083" s="452" t="n"/>
      <c r="AM1083" s="452" t="n"/>
      <c r="AN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  <c r="Y1084" s="452" t="n"/>
      <c r="Z1084" s="452" t="n"/>
      <c r="AA1084" s="452" t="n"/>
      <c r="AB1084" s="452" t="n"/>
      <c r="AC1084" s="452" t="n"/>
      <c r="AD1084" s="452" t="n"/>
      <c r="AE1084" s="452" t="n"/>
      <c r="AF1084" s="452" t="n"/>
      <c r="AG1084" s="452" t="n"/>
      <c r="AH1084" s="452" t="n"/>
      <c r="AI1084" s="452" t="n"/>
      <c r="AJ1084" s="452" t="n"/>
      <c r="AK1084" s="452" t="n"/>
      <c r="AL1084" s="452" t="n"/>
      <c r="AM1084" s="452" t="n"/>
      <c r="AN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  <c r="Y1085" s="452" t="n"/>
      <c r="Z1085" s="452" t="n"/>
      <c r="AA1085" s="452" t="n"/>
      <c r="AB1085" s="452" t="n"/>
      <c r="AC1085" s="452" t="n"/>
      <c r="AD1085" s="452" t="n"/>
      <c r="AE1085" s="452" t="n"/>
      <c r="AF1085" s="452" t="n"/>
      <c r="AG1085" s="452" t="n"/>
      <c r="AH1085" s="452" t="n"/>
      <c r="AI1085" s="452" t="n"/>
      <c r="AJ1085" s="452" t="n"/>
      <c r="AK1085" s="452" t="n"/>
      <c r="AL1085" s="452" t="n"/>
      <c r="AM1085" s="452" t="n"/>
      <c r="AN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  <c r="Y1086" s="452" t="n"/>
      <c r="Z1086" s="452" t="n"/>
      <c r="AA1086" s="452" t="n"/>
      <c r="AB1086" s="452" t="n"/>
      <c r="AC1086" s="452" t="n"/>
      <c r="AD1086" s="452" t="n"/>
      <c r="AE1086" s="452" t="n"/>
      <c r="AF1086" s="452" t="n"/>
      <c r="AG1086" s="452" t="n"/>
      <c r="AH1086" s="452" t="n"/>
      <c r="AI1086" s="452" t="n"/>
      <c r="AJ1086" s="452" t="n"/>
      <c r="AK1086" s="452" t="n"/>
      <c r="AL1086" s="452" t="n"/>
      <c r="AM1086" s="452" t="n"/>
      <c r="AN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  <c r="Y1087" s="452" t="n"/>
      <c r="Z1087" s="452" t="n"/>
      <c r="AA1087" s="452" t="n"/>
      <c r="AB1087" s="452" t="n"/>
      <c r="AC1087" s="452" t="n"/>
      <c r="AD1087" s="452" t="n"/>
      <c r="AE1087" s="452" t="n"/>
      <c r="AF1087" s="452" t="n"/>
      <c r="AG1087" s="452" t="n"/>
      <c r="AH1087" s="452" t="n"/>
      <c r="AI1087" s="452" t="n"/>
      <c r="AJ1087" s="452" t="n"/>
      <c r="AK1087" s="452" t="n"/>
      <c r="AL1087" s="452" t="n"/>
      <c r="AM1087" s="452" t="n"/>
      <c r="AN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  <c r="Y1088" s="452" t="n"/>
      <c r="Z1088" s="452" t="n"/>
      <c r="AA1088" s="452" t="n"/>
      <c r="AB1088" s="452" t="n"/>
      <c r="AC1088" s="452" t="n"/>
      <c r="AD1088" s="452" t="n"/>
      <c r="AE1088" s="452" t="n"/>
      <c r="AF1088" s="452" t="n"/>
      <c r="AG1088" s="452" t="n"/>
      <c r="AH1088" s="452" t="n"/>
      <c r="AI1088" s="452" t="n"/>
      <c r="AJ1088" s="452" t="n"/>
      <c r="AK1088" s="452" t="n"/>
      <c r="AL1088" s="452" t="n"/>
      <c r="AM1088" s="452" t="n"/>
      <c r="AN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  <c r="Y1089" s="452" t="n"/>
      <c r="Z1089" s="452" t="n"/>
      <c r="AA1089" s="452" t="n"/>
      <c r="AB1089" s="452" t="n"/>
      <c r="AC1089" s="452" t="n"/>
      <c r="AD1089" s="452" t="n"/>
      <c r="AE1089" s="452" t="n"/>
      <c r="AF1089" s="452" t="n"/>
      <c r="AG1089" s="452" t="n"/>
      <c r="AH1089" s="452" t="n"/>
      <c r="AI1089" s="452" t="n"/>
      <c r="AJ1089" s="452" t="n"/>
      <c r="AK1089" s="452" t="n"/>
      <c r="AL1089" s="452" t="n"/>
      <c r="AM1089" s="452" t="n"/>
      <c r="AN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  <c r="Y1090" s="452" t="n"/>
      <c r="Z1090" s="452" t="n"/>
      <c r="AA1090" s="452" t="n"/>
      <c r="AB1090" s="452" t="n"/>
      <c r="AC1090" s="452" t="n"/>
      <c r="AD1090" s="452" t="n"/>
      <c r="AE1090" s="452" t="n"/>
      <c r="AF1090" s="452" t="n"/>
      <c r="AG1090" s="452" t="n"/>
      <c r="AH1090" s="452" t="n"/>
      <c r="AI1090" s="452" t="n"/>
      <c r="AJ1090" s="452" t="n"/>
      <c r="AK1090" s="452" t="n"/>
      <c r="AL1090" s="452" t="n"/>
      <c r="AM1090" s="452" t="n"/>
      <c r="AN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  <c r="Y1091" s="452" t="n"/>
      <c r="Z1091" s="452" t="n"/>
      <c r="AA1091" s="452" t="n"/>
      <c r="AB1091" s="452" t="n"/>
      <c r="AC1091" s="452" t="n"/>
      <c r="AD1091" s="452" t="n"/>
      <c r="AE1091" s="452" t="n"/>
      <c r="AF1091" s="452" t="n"/>
      <c r="AG1091" s="452" t="n"/>
      <c r="AH1091" s="452" t="n"/>
      <c r="AI1091" s="452" t="n"/>
      <c r="AJ1091" s="452" t="n"/>
      <c r="AK1091" s="452" t="n"/>
      <c r="AL1091" s="452" t="n"/>
      <c r="AM1091" s="452" t="n"/>
      <c r="AN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  <c r="Y1092" s="452" t="n"/>
      <c r="Z1092" s="452" t="n"/>
      <c r="AA1092" s="452" t="n"/>
      <c r="AB1092" s="452" t="n"/>
      <c r="AC1092" s="452" t="n"/>
      <c r="AD1092" s="452" t="n"/>
      <c r="AE1092" s="452" t="n"/>
      <c r="AF1092" s="452" t="n"/>
      <c r="AG1092" s="452" t="n"/>
      <c r="AH1092" s="452" t="n"/>
      <c r="AI1092" s="452" t="n"/>
      <c r="AJ1092" s="452" t="n"/>
      <c r="AK1092" s="452" t="n"/>
      <c r="AL1092" s="452" t="n"/>
      <c r="AM1092" s="452" t="n"/>
      <c r="AN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  <c r="Y1093" s="452" t="n"/>
      <c r="Z1093" s="452" t="n"/>
      <c r="AA1093" s="452" t="n"/>
      <c r="AB1093" s="452" t="n"/>
      <c r="AC1093" s="452" t="n"/>
      <c r="AD1093" s="452" t="n"/>
      <c r="AE1093" s="452" t="n"/>
      <c r="AF1093" s="452" t="n"/>
      <c r="AG1093" s="452" t="n"/>
      <c r="AH1093" s="452" t="n"/>
      <c r="AI1093" s="452" t="n"/>
      <c r="AJ1093" s="452" t="n"/>
      <c r="AK1093" s="452" t="n"/>
      <c r="AL1093" s="452" t="n"/>
      <c r="AM1093" s="452" t="n"/>
      <c r="AN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  <c r="Y1094" s="452" t="n"/>
      <c r="Z1094" s="452" t="n"/>
      <c r="AA1094" s="452" t="n"/>
      <c r="AB1094" s="452" t="n"/>
      <c r="AC1094" s="452" t="n"/>
      <c r="AD1094" s="452" t="n"/>
      <c r="AE1094" s="452" t="n"/>
      <c r="AF1094" s="452" t="n"/>
      <c r="AG1094" s="452" t="n"/>
      <c r="AH1094" s="452" t="n"/>
      <c r="AI1094" s="452" t="n"/>
      <c r="AJ1094" s="452" t="n"/>
      <c r="AK1094" s="452" t="n"/>
      <c r="AL1094" s="452" t="n"/>
      <c r="AM1094" s="452" t="n"/>
      <c r="AN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  <c r="Y1095" s="452" t="n"/>
      <c r="Z1095" s="452" t="n"/>
      <c r="AA1095" s="452" t="n"/>
      <c r="AB1095" s="452" t="n"/>
      <c r="AC1095" s="452" t="n"/>
      <c r="AD1095" s="452" t="n"/>
      <c r="AE1095" s="452" t="n"/>
      <c r="AF1095" s="452" t="n"/>
      <c r="AG1095" s="452" t="n"/>
      <c r="AH1095" s="452" t="n"/>
      <c r="AI1095" s="452" t="n"/>
      <c r="AJ1095" s="452" t="n"/>
      <c r="AK1095" s="452" t="n"/>
      <c r="AL1095" s="452" t="n"/>
      <c r="AM1095" s="452" t="n"/>
      <c r="AN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  <c r="Y1096" s="452" t="n"/>
      <c r="Z1096" s="452" t="n"/>
      <c r="AA1096" s="452" t="n"/>
      <c r="AB1096" s="452" t="n"/>
      <c r="AC1096" s="452" t="n"/>
      <c r="AD1096" s="452" t="n"/>
      <c r="AE1096" s="452" t="n"/>
      <c r="AF1096" s="452" t="n"/>
      <c r="AG1096" s="452" t="n"/>
      <c r="AH1096" s="452" t="n"/>
      <c r="AI1096" s="452" t="n"/>
      <c r="AJ1096" s="452" t="n"/>
      <c r="AK1096" s="452" t="n"/>
      <c r="AL1096" s="452" t="n"/>
      <c r="AM1096" s="452" t="n"/>
      <c r="AN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  <c r="Y1097" s="452" t="n"/>
      <c r="Z1097" s="452" t="n"/>
      <c r="AA1097" s="452" t="n"/>
      <c r="AB1097" s="452" t="n"/>
      <c r="AC1097" s="452" t="n"/>
      <c r="AD1097" s="452" t="n"/>
      <c r="AE1097" s="452" t="n"/>
      <c r="AF1097" s="452" t="n"/>
      <c r="AG1097" s="452" t="n"/>
      <c r="AH1097" s="452" t="n"/>
      <c r="AI1097" s="452" t="n"/>
      <c r="AJ1097" s="452" t="n"/>
      <c r="AK1097" s="452" t="n"/>
      <c r="AL1097" s="452" t="n"/>
      <c r="AM1097" s="452" t="n"/>
      <c r="AN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  <c r="Y1098" s="452" t="n"/>
      <c r="Z1098" s="452" t="n"/>
      <c r="AA1098" s="452" t="n"/>
      <c r="AB1098" s="452" t="n"/>
      <c r="AC1098" s="452" t="n"/>
      <c r="AD1098" s="452" t="n"/>
      <c r="AE1098" s="452" t="n"/>
      <c r="AF1098" s="452" t="n"/>
      <c r="AG1098" s="452" t="n"/>
      <c r="AH1098" s="452" t="n"/>
      <c r="AI1098" s="452" t="n"/>
      <c r="AJ1098" s="452" t="n"/>
      <c r="AK1098" s="452" t="n"/>
      <c r="AL1098" s="452" t="n"/>
      <c r="AM1098" s="452" t="n"/>
      <c r="AN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  <c r="Y1099" s="452" t="n"/>
      <c r="Z1099" s="452" t="n"/>
      <c r="AA1099" s="452" t="n"/>
      <c r="AB1099" s="452" t="n"/>
      <c r="AC1099" s="452" t="n"/>
      <c r="AD1099" s="452" t="n"/>
      <c r="AE1099" s="452" t="n"/>
      <c r="AF1099" s="452" t="n"/>
      <c r="AG1099" s="452" t="n"/>
      <c r="AH1099" s="452" t="n"/>
      <c r="AI1099" s="452" t="n"/>
      <c r="AJ1099" s="452" t="n"/>
      <c r="AK1099" s="452" t="n"/>
      <c r="AL1099" s="452" t="n"/>
      <c r="AM1099" s="452" t="n"/>
      <c r="AN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  <c r="Y1100" s="452" t="n"/>
      <c r="Z1100" s="452" t="n"/>
      <c r="AA1100" s="452" t="n"/>
      <c r="AB1100" s="452" t="n"/>
      <c r="AC1100" s="452" t="n"/>
      <c r="AD1100" s="452" t="n"/>
      <c r="AE1100" s="452" t="n"/>
      <c r="AF1100" s="452" t="n"/>
      <c r="AG1100" s="452" t="n"/>
      <c r="AH1100" s="452" t="n"/>
      <c r="AI1100" s="452" t="n"/>
      <c r="AJ1100" s="452" t="n"/>
      <c r="AK1100" s="452" t="n"/>
      <c r="AL1100" s="452" t="n"/>
      <c r="AM1100" s="452" t="n"/>
      <c r="AN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  <c r="Y1101" s="452" t="n"/>
      <c r="Z1101" s="452" t="n"/>
      <c r="AA1101" s="452" t="n"/>
      <c r="AB1101" s="452" t="n"/>
      <c r="AC1101" s="452" t="n"/>
      <c r="AD1101" s="452" t="n"/>
      <c r="AE1101" s="452" t="n"/>
      <c r="AF1101" s="452" t="n"/>
      <c r="AG1101" s="452" t="n"/>
      <c r="AH1101" s="452" t="n"/>
      <c r="AI1101" s="452" t="n"/>
      <c r="AJ1101" s="452" t="n"/>
      <c r="AK1101" s="452" t="n"/>
      <c r="AL1101" s="452" t="n"/>
      <c r="AM1101" s="452" t="n"/>
      <c r="AN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  <c r="Y1102" s="452" t="n"/>
      <c r="Z1102" s="452" t="n"/>
      <c r="AA1102" s="452" t="n"/>
      <c r="AB1102" s="452" t="n"/>
      <c r="AC1102" s="452" t="n"/>
      <c r="AD1102" s="452" t="n"/>
      <c r="AE1102" s="452" t="n"/>
      <c r="AF1102" s="452" t="n"/>
      <c r="AG1102" s="452" t="n"/>
      <c r="AH1102" s="452" t="n"/>
      <c r="AI1102" s="452" t="n"/>
      <c r="AJ1102" s="452" t="n"/>
      <c r="AK1102" s="452" t="n"/>
      <c r="AL1102" s="452" t="n"/>
      <c r="AM1102" s="452" t="n"/>
      <c r="AN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  <c r="Y1103" s="452" t="n"/>
      <c r="Z1103" s="452" t="n"/>
      <c r="AA1103" s="452" t="n"/>
      <c r="AB1103" s="452" t="n"/>
      <c r="AC1103" s="452" t="n"/>
      <c r="AD1103" s="452" t="n"/>
      <c r="AE1103" s="452" t="n"/>
      <c r="AF1103" s="452" t="n"/>
      <c r="AG1103" s="452" t="n"/>
      <c r="AH1103" s="452" t="n"/>
      <c r="AI1103" s="452" t="n"/>
      <c r="AJ1103" s="452" t="n"/>
      <c r="AK1103" s="452" t="n"/>
      <c r="AL1103" s="452" t="n"/>
      <c r="AM1103" s="452" t="n"/>
      <c r="AN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  <c r="Y1104" s="452" t="n"/>
      <c r="Z1104" s="452" t="n"/>
      <c r="AA1104" s="452" t="n"/>
      <c r="AB1104" s="452" t="n"/>
      <c r="AC1104" s="452" t="n"/>
      <c r="AD1104" s="452" t="n"/>
      <c r="AE1104" s="452" t="n"/>
      <c r="AF1104" s="452" t="n"/>
      <c r="AG1104" s="452" t="n"/>
      <c r="AH1104" s="452" t="n"/>
      <c r="AI1104" s="452" t="n"/>
      <c r="AJ1104" s="452" t="n"/>
      <c r="AK1104" s="452" t="n"/>
      <c r="AL1104" s="452" t="n"/>
      <c r="AM1104" s="452" t="n"/>
      <c r="AN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  <c r="Y1105" s="452" t="n"/>
      <c r="Z1105" s="452" t="n"/>
      <c r="AA1105" s="452" t="n"/>
      <c r="AB1105" s="452" t="n"/>
      <c r="AC1105" s="452" t="n"/>
      <c r="AD1105" s="452" t="n"/>
      <c r="AE1105" s="452" t="n"/>
      <c r="AF1105" s="452" t="n"/>
      <c r="AG1105" s="452" t="n"/>
      <c r="AH1105" s="452" t="n"/>
      <c r="AI1105" s="452" t="n"/>
      <c r="AJ1105" s="452" t="n"/>
      <c r="AK1105" s="452" t="n"/>
      <c r="AL1105" s="452" t="n"/>
      <c r="AM1105" s="452" t="n"/>
      <c r="AN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  <c r="Y1106" s="452" t="n"/>
      <c r="Z1106" s="452" t="n"/>
      <c r="AA1106" s="452" t="n"/>
      <c r="AB1106" s="452" t="n"/>
      <c r="AC1106" s="452" t="n"/>
      <c r="AD1106" s="452" t="n"/>
      <c r="AE1106" s="452" t="n"/>
      <c r="AF1106" s="452" t="n"/>
      <c r="AG1106" s="452" t="n"/>
      <c r="AH1106" s="452" t="n"/>
      <c r="AI1106" s="452" t="n"/>
      <c r="AJ1106" s="452" t="n"/>
      <c r="AK1106" s="452" t="n"/>
      <c r="AL1106" s="452" t="n"/>
      <c r="AM1106" s="452" t="n"/>
      <c r="AN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  <c r="Y1107" s="452" t="n"/>
      <c r="Z1107" s="452" t="n"/>
      <c r="AA1107" s="452" t="n"/>
      <c r="AB1107" s="452" t="n"/>
      <c r="AC1107" s="452" t="n"/>
      <c r="AD1107" s="452" t="n"/>
      <c r="AE1107" s="452" t="n"/>
      <c r="AF1107" s="452" t="n"/>
      <c r="AG1107" s="452" t="n"/>
      <c r="AH1107" s="452" t="n"/>
      <c r="AI1107" s="452" t="n"/>
      <c r="AJ1107" s="452" t="n"/>
      <c r="AK1107" s="452" t="n"/>
      <c r="AL1107" s="452" t="n"/>
      <c r="AM1107" s="452" t="n"/>
      <c r="AN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  <c r="Y1108" s="452" t="n"/>
      <c r="Z1108" s="452" t="n"/>
      <c r="AA1108" s="452" t="n"/>
      <c r="AB1108" s="452" t="n"/>
      <c r="AC1108" s="452" t="n"/>
      <c r="AD1108" s="452" t="n"/>
      <c r="AE1108" s="452" t="n"/>
      <c r="AF1108" s="452" t="n"/>
      <c r="AG1108" s="452" t="n"/>
      <c r="AH1108" s="452" t="n"/>
      <c r="AI1108" s="452" t="n"/>
      <c r="AJ1108" s="452" t="n"/>
      <c r="AK1108" s="452" t="n"/>
      <c r="AL1108" s="452" t="n"/>
      <c r="AM1108" s="452" t="n"/>
      <c r="AN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  <c r="Y1109" s="452" t="n"/>
      <c r="Z1109" s="452" t="n"/>
      <c r="AA1109" s="452" t="n"/>
      <c r="AB1109" s="452" t="n"/>
      <c r="AC1109" s="452" t="n"/>
      <c r="AD1109" s="452" t="n"/>
      <c r="AE1109" s="452" t="n"/>
      <c r="AF1109" s="452" t="n"/>
      <c r="AG1109" s="452" t="n"/>
      <c r="AH1109" s="452" t="n"/>
      <c r="AI1109" s="452" t="n"/>
      <c r="AJ1109" s="452" t="n"/>
      <c r="AK1109" s="452" t="n"/>
      <c r="AL1109" s="452" t="n"/>
      <c r="AM1109" s="452" t="n"/>
      <c r="AN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  <c r="Y1110" s="452" t="n"/>
      <c r="Z1110" s="452" t="n"/>
      <c r="AA1110" s="452" t="n"/>
      <c r="AB1110" s="452" t="n"/>
      <c r="AC1110" s="452" t="n"/>
      <c r="AD1110" s="452" t="n"/>
      <c r="AE1110" s="452" t="n"/>
      <c r="AF1110" s="452" t="n"/>
      <c r="AG1110" s="452" t="n"/>
      <c r="AH1110" s="452" t="n"/>
      <c r="AI1110" s="452" t="n"/>
      <c r="AJ1110" s="452" t="n"/>
      <c r="AK1110" s="452" t="n"/>
      <c r="AL1110" s="452" t="n"/>
      <c r="AM1110" s="452" t="n"/>
      <c r="AN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  <c r="Y1111" s="452" t="n"/>
      <c r="Z1111" s="452" t="n"/>
      <c r="AA1111" s="452" t="n"/>
      <c r="AB1111" s="452" t="n"/>
      <c r="AC1111" s="452" t="n"/>
      <c r="AD1111" s="452" t="n"/>
      <c r="AE1111" s="452" t="n"/>
      <c r="AF1111" s="452" t="n"/>
      <c r="AG1111" s="452" t="n"/>
      <c r="AH1111" s="452" t="n"/>
      <c r="AI1111" s="452" t="n"/>
      <c r="AJ1111" s="452" t="n"/>
      <c r="AK1111" s="452" t="n"/>
      <c r="AL1111" s="452" t="n"/>
      <c r="AM1111" s="452" t="n"/>
      <c r="AN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  <c r="Y1112" s="452" t="n"/>
      <c r="Z1112" s="452" t="n"/>
      <c r="AA1112" s="452" t="n"/>
      <c r="AB1112" s="452" t="n"/>
      <c r="AC1112" s="452" t="n"/>
      <c r="AD1112" s="452" t="n"/>
      <c r="AE1112" s="452" t="n"/>
      <c r="AF1112" s="452" t="n"/>
      <c r="AG1112" s="452" t="n"/>
      <c r="AH1112" s="452" t="n"/>
      <c r="AI1112" s="452" t="n"/>
      <c r="AJ1112" s="452" t="n"/>
      <c r="AK1112" s="452" t="n"/>
      <c r="AL1112" s="452" t="n"/>
      <c r="AM1112" s="452" t="n"/>
      <c r="AN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  <c r="Y1113" s="452" t="n"/>
      <c r="Z1113" s="452" t="n"/>
      <c r="AA1113" s="452" t="n"/>
      <c r="AB1113" s="452" t="n"/>
      <c r="AC1113" s="452" t="n"/>
      <c r="AD1113" s="452" t="n"/>
      <c r="AE1113" s="452" t="n"/>
      <c r="AF1113" s="452" t="n"/>
      <c r="AG1113" s="452" t="n"/>
      <c r="AH1113" s="452" t="n"/>
      <c r="AI1113" s="452" t="n"/>
      <c r="AJ1113" s="452" t="n"/>
      <c r="AK1113" s="452" t="n"/>
      <c r="AL1113" s="452" t="n"/>
      <c r="AM1113" s="452" t="n"/>
      <c r="AN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  <c r="Y1114" s="452" t="n"/>
      <c r="Z1114" s="452" t="n"/>
      <c r="AA1114" s="452" t="n"/>
      <c r="AB1114" s="452" t="n"/>
      <c r="AC1114" s="452" t="n"/>
      <c r="AD1114" s="452" t="n"/>
      <c r="AE1114" s="452" t="n"/>
      <c r="AF1114" s="452" t="n"/>
      <c r="AG1114" s="452" t="n"/>
      <c r="AH1114" s="452" t="n"/>
      <c r="AI1114" s="452" t="n"/>
      <c r="AJ1114" s="452" t="n"/>
      <c r="AK1114" s="452" t="n"/>
      <c r="AL1114" s="452" t="n"/>
      <c r="AM1114" s="452" t="n"/>
      <c r="AN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  <c r="Y1115" s="452" t="n"/>
      <c r="Z1115" s="452" t="n"/>
      <c r="AA1115" s="452" t="n"/>
      <c r="AB1115" s="452" t="n"/>
      <c r="AC1115" s="452" t="n"/>
      <c r="AD1115" s="452" t="n"/>
      <c r="AE1115" s="452" t="n"/>
      <c r="AF1115" s="452" t="n"/>
      <c r="AG1115" s="452" t="n"/>
      <c r="AH1115" s="452" t="n"/>
      <c r="AI1115" s="452" t="n"/>
      <c r="AJ1115" s="452" t="n"/>
      <c r="AK1115" s="452" t="n"/>
      <c r="AL1115" s="452" t="n"/>
      <c r="AM1115" s="452" t="n"/>
      <c r="AN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  <c r="Y1116" s="452" t="n"/>
      <c r="Z1116" s="452" t="n"/>
      <c r="AA1116" s="452" t="n"/>
      <c r="AB1116" s="452" t="n"/>
      <c r="AC1116" s="452" t="n"/>
      <c r="AD1116" s="452" t="n"/>
      <c r="AE1116" s="452" t="n"/>
      <c r="AF1116" s="452" t="n"/>
      <c r="AG1116" s="452" t="n"/>
      <c r="AH1116" s="452" t="n"/>
      <c r="AI1116" s="452" t="n"/>
      <c r="AJ1116" s="452" t="n"/>
      <c r="AK1116" s="452" t="n"/>
      <c r="AL1116" s="452" t="n"/>
      <c r="AM1116" s="452" t="n"/>
      <c r="AN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  <c r="Y1117" s="452" t="n"/>
      <c r="Z1117" s="452" t="n"/>
      <c r="AA1117" s="452" t="n"/>
      <c r="AB1117" s="452" t="n"/>
      <c r="AC1117" s="452" t="n"/>
      <c r="AD1117" s="452" t="n"/>
      <c r="AE1117" s="452" t="n"/>
      <c r="AF1117" s="452" t="n"/>
      <c r="AG1117" s="452" t="n"/>
      <c r="AH1117" s="452" t="n"/>
      <c r="AI1117" s="452" t="n"/>
      <c r="AJ1117" s="452" t="n"/>
      <c r="AK1117" s="452" t="n"/>
      <c r="AL1117" s="452" t="n"/>
      <c r="AM1117" s="452" t="n"/>
      <c r="AN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  <c r="Y1118" s="452" t="n"/>
      <c r="Z1118" s="452" t="n"/>
      <c r="AA1118" s="452" t="n"/>
      <c r="AB1118" s="452" t="n"/>
      <c r="AC1118" s="452" t="n"/>
      <c r="AD1118" s="452" t="n"/>
      <c r="AE1118" s="452" t="n"/>
      <c r="AF1118" s="452" t="n"/>
      <c r="AG1118" s="452" t="n"/>
      <c r="AH1118" s="452" t="n"/>
      <c r="AI1118" s="452" t="n"/>
      <c r="AJ1118" s="452" t="n"/>
      <c r="AK1118" s="452" t="n"/>
      <c r="AL1118" s="452" t="n"/>
      <c r="AM1118" s="452" t="n"/>
      <c r="AN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  <c r="Y1119" s="452" t="n"/>
      <c r="Z1119" s="452" t="n"/>
      <c r="AA1119" s="452" t="n"/>
      <c r="AB1119" s="452" t="n"/>
      <c r="AC1119" s="452" t="n"/>
      <c r="AD1119" s="452" t="n"/>
      <c r="AE1119" s="452" t="n"/>
      <c r="AF1119" s="452" t="n"/>
      <c r="AG1119" s="452" t="n"/>
      <c r="AH1119" s="452" t="n"/>
      <c r="AI1119" s="452" t="n"/>
      <c r="AJ1119" s="452" t="n"/>
      <c r="AK1119" s="452" t="n"/>
      <c r="AL1119" s="452" t="n"/>
      <c r="AM1119" s="452" t="n"/>
      <c r="AN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  <c r="Y1120" s="452" t="n"/>
      <c r="Z1120" s="452" t="n"/>
      <c r="AA1120" s="452" t="n"/>
      <c r="AB1120" s="452" t="n"/>
      <c r="AC1120" s="452" t="n"/>
      <c r="AD1120" s="452" t="n"/>
      <c r="AE1120" s="452" t="n"/>
      <c r="AF1120" s="452" t="n"/>
      <c r="AG1120" s="452" t="n"/>
      <c r="AH1120" s="452" t="n"/>
      <c r="AI1120" s="452" t="n"/>
      <c r="AJ1120" s="452" t="n"/>
      <c r="AK1120" s="452" t="n"/>
      <c r="AL1120" s="452" t="n"/>
      <c r="AM1120" s="452" t="n"/>
      <c r="AN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  <c r="Y1121" s="452" t="n"/>
      <c r="Z1121" s="452" t="n"/>
      <c r="AA1121" s="452" t="n"/>
      <c r="AB1121" s="452" t="n"/>
      <c r="AC1121" s="452" t="n"/>
      <c r="AD1121" s="452" t="n"/>
      <c r="AE1121" s="452" t="n"/>
      <c r="AF1121" s="452" t="n"/>
      <c r="AG1121" s="452" t="n"/>
      <c r="AH1121" s="452" t="n"/>
      <c r="AI1121" s="452" t="n"/>
      <c r="AJ1121" s="452" t="n"/>
      <c r="AK1121" s="452" t="n"/>
      <c r="AL1121" s="452" t="n"/>
      <c r="AM1121" s="452" t="n"/>
      <c r="AN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  <c r="Y1122" s="452" t="n"/>
      <c r="Z1122" s="452" t="n"/>
      <c r="AA1122" s="452" t="n"/>
      <c r="AB1122" s="452" t="n"/>
      <c r="AC1122" s="452" t="n"/>
      <c r="AD1122" s="452" t="n"/>
      <c r="AE1122" s="452" t="n"/>
      <c r="AF1122" s="452" t="n"/>
      <c r="AG1122" s="452" t="n"/>
      <c r="AH1122" s="452" t="n"/>
      <c r="AI1122" s="452" t="n"/>
      <c r="AJ1122" s="452" t="n"/>
      <c r="AK1122" s="452" t="n"/>
      <c r="AL1122" s="452" t="n"/>
      <c r="AM1122" s="452" t="n"/>
      <c r="AN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  <c r="Y1123" s="452" t="n"/>
      <c r="Z1123" s="452" t="n"/>
      <c r="AA1123" s="452" t="n"/>
      <c r="AB1123" s="452" t="n"/>
      <c r="AC1123" s="452" t="n"/>
      <c r="AD1123" s="452" t="n"/>
      <c r="AE1123" s="452" t="n"/>
      <c r="AF1123" s="452" t="n"/>
      <c r="AG1123" s="452" t="n"/>
      <c r="AH1123" s="452" t="n"/>
      <c r="AI1123" s="452" t="n"/>
      <c r="AJ1123" s="452" t="n"/>
      <c r="AK1123" s="452" t="n"/>
      <c r="AL1123" s="452" t="n"/>
      <c r="AM1123" s="452" t="n"/>
      <c r="AN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  <c r="Y1124" s="452" t="n"/>
      <c r="Z1124" s="452" t="n"/>
      <c r="AA1124" s="452" t="n"/>
      <c r="AB1124" s="452" t="n"/>
      <c r="AC1124" s="452" t="n"/>
      <c r="AD1124" s="452" t="n"/>
      <c r="AE1124" s="452" t="n"/>
      <c r="AF1124" s="452" t="n"/>
      <c r="AG1124" s="452" t="n"/>
      <c r="AH1124" s="452" t="n"/>
      <c r="AI1124" s="452" t="n"/>
      <c r="AJ1124" s="452" t="n"/>
      <c r="AK1124" s="452" t="n"/>
      <c r="AL1124" s="452" t="n"/>
      <c r="AM1124" s="452" t="n"/>
      <c r="AN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  <c r="Y1125" s="452" t="n"/>
      <c r="Z1125" s="452" t="n"/>
      <c r="AA1125" s="452" t="n"/>
      <c r="AB1125" s="452" t="n"/>
      <c r="AC1125" s="452" t="n"/>
      <c r="AD1125" s="452" t="n"/>
      <c r="AE1125" s="452" t="n"/>
      <c r="AF1125" s="452" t="n"/>
      <c r="AG1125" s="452" t="n"/>
      <c r="AH1125" s="452" t="n"/>
      <c r="AI1125" s="452" t="n"/>
      <c r="AJ1125" s="452" t="n"/>
      <c r="AK1125" s="452" t="n"/>
      <c r="AL1125" s="452" t="n"/>
      <c r="AM1125" s="452" t="n"/>
      <c r="AN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  <c r="Y1126" s="452" t="n"/>
      <c r="Z1126" s="452" t="n"/>
      <c r="AA1126" s="452" t="n"/>
      <c r="AB1126" s="452" t="n"/>
      <c r="AC1126" s="452" t="n"/>
      <c r="AD1126" s="452" t="n"/>
      <c r="AE1126" s="452" t="n"/>
      <c r="AF1126" s="452" t="n"/>
      <c r="AG1126" s="452" t="n"/>
      <c r="AH1126" s="452" t="n"/>
      <c r="AI1126" s="452" t="n"/>
      <c r="AJ1126" s="452" t="n"/>
      <c r="AK1126" s="452" t="n"/>
      <c r="AL1126" s="452" t="n"/>
      <c r="AM1126" s="452" t="n"/>
      <c r="AN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  <c r="Y1127" s="452" t="n"/>
      <c r="Z1127" s="452" t="n"/>
      <c r="AA1127" s="452" t="n"/>
      <c r="AB1127" s="452" t="n"/>
      <c r="AC1127" s="452" t="n"/>
      <c r="AD1127" s="452" t="n"/>
      <c r="AE1127" s="452" t="n"/>
      <c r="AF1127" s="452" t="n"/>
      <c r="AG1127" s="452" t="n"/>
      <c r="AH1127" s="452" t="n"/>
      <c r="AI1127" s="452" t="n"/>
      <c r="AJ1127" s="452" t="n"/>
      <c r="AK1127" s="452" t="n"/>
      <c r="AL1127" s="452" t="n"/>
      <c r="AM1127" s="452" t="n"/>
      <c r="AN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  <c r="Y1128" s="452" t="n"/>
      <c r="Z1128" s="452" t="n"/>
      <c r="AA1128" s="452" t="n"/>
      <c r="AB1128" s="452" t="n"/>
      <c r="AC1128" s="452" t="n"/>
      <c r="AD1128" s="452" t="n"/>
      <c r="AE1128" s="452" t="n"/>
      <c r="AF1128" s="452" t="n"/>
      <c r="AG1128" s="452" t="n"/>
      <c r="AH1128" s="452" t="n"/>
      <c r="AI1128" s="452" t="n"/>
      <c r="AJ1128" s="452" t="n"/>
      <c r="AK1128" s="452" t="n"/>
      <c r="AL1128" s="452" t="n"/>
      <c r="AM1128" s="452" t="n"/>
      <c r="AN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  <c r="Y1129" s="452" t="n"/>
      <c r="Z1129" s="452" t="n"/>
      <c r="AA1129" s="452" t="n"/>
      <c r="AB1129" s="452" t="n"/>
      <c r="AC1129" s="452" t="n"/>
      <c r="AD1129" s="452" t="n"/>
      <c r="AE1129" s="452" t="n"/>
      <c r="AF1129" s="452" t="n"/>
      <c r="AG1129" s="452" t="n"/>
      <c r="AH1129" s="452" t="n"/>
      <c r="AI1129" s="452" t="n"/>
      <c r="AJ1129" s="452" t="n"/>
      <c r="AK1129" s="452" t="n"/>
      <c r="AL1129" s="452" t="n"/>
      <c r="AM1129" s="452" t="n"/>
      <c r="AN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  <c r="Y1130" s="452" t="n"/>
      <c r="Z1130" s="452" t="n"/>
      <c r="AA1130" s="452" t="n"/>
      <c r="AB1130" s="452" t="n"/>
      <c r="AC1130" s="452" t="n"/>
      <c r="AD1130" s="452" t="n"/>
      <c r="AE1130" s="452" t="n"/>
      <c r="AF1130" s="452" t="n"/>
      <c r="AG1130" s="452" t="n"/>
      <c r="AH1130" s="452" t="n"/>
      <c r="AI1130" s="452" t="n"/>
      <c r="AJ1130" s="452" t="n"/>
      <c r="AK1130" s="452" t="n"/>
      <c r="AL1130" s="452" t="n"/>
      <c r="AM1130" s="452" t="n"/>
      <c r="AN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  <c r="Y1131" s="452" t="n"/>
      <c r="Z1131" s="452" t="n"/>
      <c r="AA1131" s="452" t="n"/>
      <c r="AB1131" s="452" t="n"/>
      <c r="AC1131" s="452" t="n"/>
      <c r="AD1131" s="452" t="n"/>
      <c r="AE1131" s="452" t="n"/>
      <c r="AF1131" s="452" t="n"/>
      <c r="AG1131" s="452" t="n"/>
      <c r="AH1131" s="452" t="n"/>
      <c r="AI1131" s="452" t="n"/>
      <c r="AJ1131" s="452" t="n"/>
      <c r="AK1131" s="452" t="n"/>
      <c r="AL1131" s="452" t="n"/>
      <c r="AM1131" s="452" t="n"/>
      <c r="AN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  <c r="Y1132" s="452" t="n"/>
      <c r="Z1132" s="452" t="n"/>
      <c r="AA1132" s="452" t="n"/>
      <c r="AB1132" s="452" t="n"/>
      <c r="AC1132" s="452" t="n"/>
      <c r="AD1132" s="452" t="n"/>
      <c r="AE1132" s="452" t="n"/>
      <c r="AF1132" s="452" t="n"/>
      <c r="AG1132" s="452" t="n"/>
      <c r="AH1132" s="452" t="n"/>
      <c r="AI1132" s="452" t="n"/>
      <c r="AJ1132" s="452" t="n"/>
      <c r="AK1132" s="452" t="n"/>
      <c r="AL1132" s="452" t="n"/>
      <c r="AM1132" s="452" t="n"/>
      <c r="AN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  <c r="Y1133" s="452" t="n"/>
      <c r="Z1133" s="452" t="n"/>
      <c r="AA1133" s="452" t="n"/>
      <c r="AB1133" s="452" t="n"/>
      <c r="AC1133" s="452" t="n"/>
      <c r="AD1133" s="452" t="n"/>
      <c r="AE1133" s="452" t="n"/>
      <c r="AF1133" s="452" t="n"/>
      <c r="AG1133" s="452" t="n"/>
      <c r="AH1133" s="452" t="n"/>
      <c r="AI1133" s="452" t="n"/>
      <c r="AJ1133" s="452" t="n"/>
      <c r="AK1133" s="452" t="n"/>
      <c r="AL1133" s="452" t="n"/>
      <c r="AM1133" s="452" t="n"/>
      <c r="AN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  <c r="Y1134" s="452" t="n"/>
      <c r="Z1134" s="452" t="n"/>
      <c r="AA1134" s="452" t="n"/>
      <c r="AB1134" s="452" t="n"/>
      <c r="AC1134" s="452" t="n"/>
      <c r="AD1134" s="452" t="n"/>
      <c r="AE1134" s="452" t="n"/>
      <c r="AF1134" s="452" t="n"/>
      <c r="AG1134" s="452" t="n"/>
      <c r="AH1134" s="452" t="n"/>
      <c r="AI1134" s="452" t="n"/>
      <c r="AJ1134" s="452" t="n"/>
      <c r="AK1134" s="452" t="n"/>
      <c r="AL1134" s="452" t="n"/>
      <c r="AM1134" s="452" t="n"/>
      <c r="AN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  <c r="Y1135" s="452" t="n"/>
      <c r="Z1135" s="452" t="n"/>
      <c r="AA1135" s="452" t="n"/>
      <c r="AB1135" s="452" t="n"/>
      <c r="AC1135" s="452" t="n"/>
      <c r="AD1135" s="452" t="n"/>
      <c r="AE1135" s="452" t="n"/>
      <c r="AF1135" s="452" t="n"/>
      <c r="AG1135" s="452" t="n"/>
      <c r="AH1135" s="452" t="n"/>
      <c r="AI1135" s="452" t="n"/>
      <c r="AJ1135" s="452" t="n"/>
      <c r="AK1135" s="452" t="n"/>
      <c r="AL1135" s="452" t="n"/>
      <c r="AM1135" s="452" t="n"/>
      <c r="AN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  <c r="Y1136" s="452" t="n"/>
      <c r="Z1136" s="452" t="n"/>
      <c r="AA1136" s="452" t="n"/>
      <c r="AB1136" s="452" t="n"/>
      <c r="AC1136" s="452" t="n"/>
      <c r="AD1136" s="452" t="n"/>
      <c r="AE1136" s="452" t="n"/>
      <c r="AF1136" s="452" t="n"/>
      <c r="AG1136" s="452" t="n"/>
      <c r="AH1136" s="452" t="n"/>
      <c r="AI1136" s="452" t="n"/>
      <c r="AJ1136" s="452" t="n"/>
      <c r="AK1136" s="452" t="n"/>
      <c r="AL1136" s="452" t="n"/>
      <c r="AM1136" s="452" t="n"/>
      <c r="AN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  <c r="Y1137" s="452" t="n"/>
      <c r="Z1137" s="452" t="n"/>
      <c r="AA1137" s="452" t="n"/>
      <c r="AB1137" s="452" t="n"/>
      <c r="AC1137" s="452" t="n"/>
      <c r="AD1137" s="452" t="n"/>
      <c r="AE1137" s="452" t="n"/>
      <c r="AF1137" s="452" t="n"/>
      <c r="AG1137" s="452" t="n"/>
      <c r="AH1137" s="452" t="n"/>
      <c r="AI1137" s="452" t="n"/>
      <c r="AJ1137" s="452" t="n"/>
      <c r="AK1137" s="452" t="n"/>
      <c r="AL1137" s="452" t="n"/>
      <c r="AM1137" s="452" t="n"/>
      <c r="AN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  <c r="Y1138" s="452" t="n"/>
      <c r="Z1138" s="452" t="n"/>
      <c r="AA1138" s="452" t="n"/>
      <c r="AB1138" s="452" t="n"/>
      <c r="AC1138" s="452" t="n"/>
      <c r="AD1138" s="452" t="n"/>
      <c r="AE1138" s="452" t="n"/>
      <c r="AF1138" s="452" t="n"/>
      <c r="AG1138" s="452" t="n"/>
      <c r="AH1138" s="452" t="n"/>
      <c r="AI1138" s="452" t="n"/>
      <c r="AJ1138" s="452" t="n"/>
      <c r="AK1138" s="452" t="n"/>
      <c r="AL1138" s="452" t="n"/>
      <c r="AM1138" s="452" t="n"/>
      <c r="AN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  <c r="Y1139" s="452" t="n"/>
      <c r="Z1139" s="452" t="n"/>
      <c r="AA1139" s="452" t="n"/>
      <c r="AB1139" s="452" t="n"/>
      <c r="AC1139" s="452" t="n"/>
      <c r="AD1139" s="452" t="n"/>
      <c r="AE1139" s="452" t="n"/>
      <c r="AF1139" s="452" t="n"/>
      <c r="AG1139" s="452" t="n"/>
      <c r="AH1139" s="452" t="n"/>
      <c r="AI1139" s="452" t="n"/>
      <c r="AJ1139" s="452" t="n"/>
      <c r="AK1139" s="452" t="n"/>
      <c r="AL1139" s="452" t="n"/>
      <c r="AM1139" s="452" t="n"/>
      <c r="AN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  <c r="Y1140" s="452" t="n"/>
      <c r="Z1140" s="452" t="n"/>
      <c r="AA1140" s="452" t="n"/>
      <c r="AB1140" s="452" t="n"/>
      <c r="AC1140" s="452" t="n"/>
      <c r="AD1140" s="452" t="n"/>
      <c r="AE1140" s="452" t="n"/>
      <c r="AF1140" s="452" t="n"/>
      <c r="AG1140" s="452" t="n"/>
      <c r="AH1140" s="452" t="n"/>
      <c r="AI1140" s="452" t="n"/>
      <c r="AJ1140" s="452" t="n"/>
      <c r="AK1140" s="452" t="n"/>
      <c r="AL1140" s="452" t="n"/>
      <c r="AM1140" s="452" t="n"/>
      <c r="AN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  <c r="Y1141" s="452" t="n"/>
      <c r="Z1141" s="452" t="n"/>
      <c r="AA1141" s="452" t="n"/>
      <c r="AB1141" s="452" t="n"/>
      <c r="AC1141" s="452" t="n"/>
      <c r="AD1141" s="452" t="n"/>
      <c r="AE1141" s="452" t="n"/>
      <c r="AF1141" s="452" t="n"/>
      <c r="AG1141" s="452" t="n"/>
      <c r="AH1141" s="452" t="n"/>
      <c r="AI1141" s="452" t="n"/>
      <c r="AJ1141" s="452" t="n"/>
      <c r="AK1141" s="452" t="n"/>
      <c r="AL1141" s="452" t="n"/>
      <c r="AM1141" s="452" t="n"/>
      <c r="AN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  <c r="Y1142" s="452" t="n"/>
      <c r="Z1142" s="452" t="n"/>
      <c r="AA1142" s="452" t="n"/>
      <c r="AB1142" s="452" t="n"/>
      <c r="AC1142" s="452" t="n"/>
      <c r="AD1142" s="452" t="n"/>
      <c r="AE1142" s="452" t="n"/>
      <c r="AF1142" s="452" t="n"/>
      <c r="AG1142" s="452" t="n"/>
      <c r="AH1142" s="452" t="n"/>
      <c r="AI1142" s="452" t="n"/>
      <c r="AJ1142" s="452" t="n"/>
      <c r="AK1142" s="452" t="n"/>
      <c r="AL1142" s="452" t="n"/>
      <c r="AM1142" s="452" t="n"/>
      <c r="AN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  <c r="Y1143" s="452" t="n"/>
      <c r="Z1143" s="452" t="n"/>
      <c r="AA1143" s="452" t="n"/>
      <c r="AB1143" s="452" t="n"/>
      <c r="AC1143" s="452" t="n"/>
      <c r="AD1143" s="452" t="n"/>
      <c r="AE1143" s="452" t="n"/>
      <c r="AF1143" s="452" t="n"/>
      <c r="AG1143" s="452" t="n"/>
      <c r="AH1143" s="452" t="n"/>
      <c r="AI1143" s="452" t="n"/>
      <c r="AJ1143" s="452" t="n"/>
      <c r="AK1143" s="452" t="n"/>
      <c r="AL1143" s="452" t="n"/>
      <c r="AM1143" s="452" t="n"/>
      <c r="AN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  <c r="Y1144" s="452" t="n"/>
      <c r="Z1144" s="452" t="n"/>
      <c r="AA1144" s="452" t="n"/>
      <c r="AB1144" s="452" t="n"/>
      <c r="AC1144" s="452" t="n"/>
      <c r="AD1144" s="452" t="n"/>
      <c r="AE1144" s="452" t="n"/>
      <c r="AF1144" s="452" t="n"/>
      <c r="AG1144" s="452" t="n"/>
      <c r="AH1144" s="452" t="n"/>
      <c r="AI1144" s="452" t="n"/>
      <c r="AJ1144" s="452" t="n"/>
      <c r="AK1144" s="452" t="n"/>
      <c r="AL1144" s="452" t="n"/>
      <c r="AM1144" s="452" t="n"/>
      <c r="AN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  <c r="Y1145" s="452" t="n"/>
      <c r="Z1145" s="452" t="n"/>
      <c r="AA1145" s="452" t="n"/>
      <c r="AB1145" s="452" t="n"/>
      <c r="AC1145" s="452" t="n"/>
      <c r="AD1145" s="452" t="n"/>
      <c r="AE1145" s="452" t="n"/>
      <c r="AF1145" s="452" t="n"/>
      <c r="AG1145" s="452" t="n"/>
      <c r="AH1145" s="452" t="n"/>
      <c r="AI1145" s="452" t="n"/>
      <c r="AJ1145" s="452" t="n"/>
      <c r="AK1145" s="452" t="n"/>
      <c r="AL1145" s="452" t="n"/>
      <c r="AM1145" s="452" t="n"/>
      <c r="AN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  <c r="Y1146" s="452" t="n"/>
      <c r="Z1146" s="452" t="n"/>
      <c r="AA1146" s="452" t="n"/>
      <c r="AB1146" s="452" t="n"/>
      <c r="AC1146" s="452" t="n"/>
      <c r="AD1146" s="452" t="n"/>
      <c r="AE1146" s="452" t="n"/>
      <c r="AF1146" s="452" t="n"/>
      <c r="AG1146" s="452" t="n"/>
      <c r="AH1146" s="452" t="n"/>
      <c r="AI1146" s="452" t="n"/>
      <c r="AJ1146" s="452" t="n"/>
      <c r="AK1146" s="452" t="n"/>
      <c r="AL1146" s="452" t="n"/>
      <c r="AM1146" s="452" t="n"/>
      <c r="AN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  <c r="Y1147" s="452" t="n"/>
      <c r="Z1147" s="452" t="n"/>
      <c r="AA1147" s="452" t="n"/>
      <c r="AB1147" s="452" t="n"/>
      <c r="AC1147" s="452" t="n"/>
      <c r="AD1147" s="452" t="n"/>
      <c r="AE1147" s="452" t="n"/>
      <c r="AF1147" s="452" t="n"/>
      <c r="AG1147" s="452" t="n"/>
      <c r="AH1147" s="452" t="n"/>
      <c r="AI1147" s="452" t="n"/>
      <c r="AJ1147" s="452" t="n"/>
      <c r="AK1147" s="452" t="n"/>
      <c r="AL1147" s="452" t="n"/>
      <c r="AM1147" s="452" t="n"/>
      <c r="AN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  <c r="Y1148" s="452" t="n"/>
      <c r="Z1148" s="452" t="n"/>
      <c r="AA1148" s="452" t="n"/>
      <c r="AB1148" s="452" t="n"/>
      <c r="AC1148" s="452" t="n"/>
      <c r="AD1148" s="452" t="n"/>
      <c r="AE1148" s="452" t="n"/>
      <c r="AF1148" s="452" t="n"/>
      <c r="AG1148" s="452" t="n"/>
      <c r="AH1148" s="452" t="n"/>
      <c r="AI1148" s="452" t="n"/>
      <c r="AJ1148" s="452" t="n"/>
      <c r="AK1148" s="452" t="n"/>
      <c r="AL1148" s="452" t="n"/>
      <c r="AM1148" s="452" t="n"/>
      <c r="AN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  <c r="Y1149" s="452" t="n"/>
      <c r="Z1149" s="452" t="n"/>
      <c r="AA1149" s="452" t="n"/>
      <c r="AB1149" s="452" t="n"/>
      <c r="AC1149" s="452" t="n"/>
      <c r="AD1149" s="452" t="n"/>
      <c r="AE1149" s="452" t="n"/>
      <c r="AF1149" s="452" t="n"/>
      <c r="AG1149" s="452" t="n"/>
      <c r="AH1149" s="452" t="n"/>
      <c r="AI1149" s="452" t="n"/>
      <c r="AJ1149" s="452" t="n"/>
      <c r="AK1149" s="452" t="n"/>
      <c r="AL1149" s="452" t="n"/>
      <c r="AM1149" s="452" t="n"/>
      <c r="AN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  <c r="Y1150" s="452" t="n"/>
      <c r="Z1150" s="452" t="n"/>
      <c r="AA1150" s="452" t="n"/>
      <c r="AB1150" s="452" t="n"/>
      <c r="AC1150" s="452" t="n"/>
      <c r="AD1150" s="452" t="n"/>
      <c r="AE1150" s="452" t="n"/>
      <c r="AF1150" s="452" t="n"/>
      <c r="AG1150" s="452" t="n"/>
      <c r="AH1150" s="452" t="n"/>
      <c r="AI1150" s="452" t="n"/>
      <c r="AJ1150" s="452" t="n"/>
      <c r="AK1150" s="452" t="n"/>
      <c r="AL1150" s="452" t="n"/>
      <c r="AM1150" s="452" t="n"/>
      <c r="AN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  <c r="Y1151" s="452" t="n"/>
      <c r="Z1151" s="452" t="n"/>
      <c r="AA1151" s="452" t="n"/>
      <c r="AB1151" s="452" t="n"/>
      <c r="AC1151" s="452" t="n"/>
      <c r="AD1151" s="452" t="n"/>
      <c r="AE1151" s="452" t="n"/>
      <c r="AF1151" s="452" t="n"/>
      <c r="AG1151" s="452" t="n"/>
      <c r="AH1151" s="452" t="n"/>
      <c r="AI1151" s="452" t="n"/>
      <c r="AJ1151" s="452" t="n"/>
      <c r="AK1151" s="452" t="n"/>
      <c r="AL1151" s="452" t="n"/>
      <c r="AM1151" s="452" t="n"/>
      <c r="AN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  <c r="Y1152" s="452" t="n"/>
      <c r="Z1152" s="452" t="n"/>
      <c r="AA1152" s="452" t="n"/>
      <c r="AB1152" s="452" t="n"/>
      <c r="AC1152" s="452" t="n"/>
      <c r="AD1152" s="452" t="n"/>
      <c r="AE1152" s="452" t="n"/>
      <c r="AF1152" s="452" t="n"/>
      <c r="AG1152" s="452" t="n"/>
      <c r="AH1152" s="452" t="n"/>
      <c r="AI1152" s="452" t="n"/>
      <c r="AJ1152" s="452" t="n"/>
      <c r="AK1152" s="452" t="n"/>
      <c r="AL1152" s="452" t="n"/>
      <c r="AM1152" s="452" t="n"/>
      <c r="AN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  <c r="Y1153" s="452" t="n"/>
      <c r="Z1153" s="452" t="n"/>
      <c r="AA1153" s="452" t="n"/>
      <c r="AB1153" s="452" t="n"/>
      <c r="AC1153" s="452" t="n"/>
      <c r="AD1153" s="452" t="n"/>
      <c r="AE1153" s="452" t="n"/>
      <c r="AF1153" s="452" t="n"/>
      <c r="AG1153" s="452" t="n"/>
      <c r="AH1153" s="452" t="n"/>
      <c r="AI1153" s="452" t="n"/>
      <c r="AJ1153" s="452" t="n"/>
      <c r="AK1153" s="452" t="n"/>
      <c r="AL1153" s="452" t="n"/>
      <c r="AM1153" s="452" t="n"/>
      <c r="AN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  <c r="Y1154" s="452" t="n"/>
      <c r="Z1154" s="452" t="n"/>
      <c r="AA1154" s="452" t="n"/>
      <c r="AB1154" s="452" t="n"/>
      <c r="AC1154" s="452" t="n"/>
      <c r="AD1154" s="452" t="n"/>
      <c r="AE1154" s="452" t="n"/>
      <c r="AF1154" s="452" t="n"/>
      <c r="AG1154" s="452" t="n"/>
      <c r="AH1154" s="452" t="n"/>
      <c r="AI1154" s="452" t="n"/>
      <c r="AJ1154" s="452" t="n"/>
      <c r="AK1154" s="452" t="n"/>
      <c r="AL1154" s="452" t="n"/>
      <c r="AM1154" s="452" t="n"/>
      <c r="AN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  <c r="Y1155" s="452" t="n"/>
      <c r="Z1155" s="452" t="n"/>
      <c r="AA1155" s="452" t="n"/>
      <c r="AB1155" s="452" t="n"/>
      <c r="AC1155" s="452" t="n"/>
      <c r="AD1155" s="452" t="n"/>
      <c r="AE1155" s="452" t="n"/>
      <c r="AF1155" s="452" t="n"/>
      <c r="AG1155" s="452" t="n"/>
      <c r="AH1155" s="452" t="n"/>
      <c r="AI1155" s="452" t="n"/>
      <c r="AJ1155" s="452" t="n"/>
      <c r="AK1155" s="452" t="n"/>
      <c r="AL1155" s="452" t="n"/>
      <c r="AM1155" s="452" t="n"/>
      <c r="AN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  <c r="Y1156" s="452" t="n"/>
      <c r="Z1156" s="452" t="n"/>
      <c r="AA1156" s="452" t="n"/>
      <c r="AB1156" s="452" t="n"/>
      <c r="AC1156" s="452" t="n"/>
      <c r="AD1156" s="452" t="n"/>
      <c r="AE1156" s="452" t="n"/>
      <c r="AF1156" s="452" t="n"/>
      <c r="AG1156" s="452" t="n"/>
      <c r="AH1156" s="452" t="n"/>
      <c r="AI1156" s="452" t="n"/>
      <c r="AJ1156" s="452" t="n"/>
      <c r="AK1156" s="452" t="n"/>
      <c r="AL1156" s="452" t="n"/>
      <c r="AM1156" s="452" t="n"/>
      <c r="AN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  <c r="Y1157" s="452" t="n"/>
      <c r="Z1157" s="452" t="n"/>
      <c r="AA1157" s="452" t="n"/>
      <c r="AB1157" s="452" t="n"/>
      <c r="AC1157" s="452" t="n"/>
      <c r="AD1157" s="452" t="n"/>
      <c r="AE1157" s="452" t="n"/>
      <c r="AF1157" s="452" t="n"/>
      <c r="AG1157" s="452" t="n"/>
      <c r="AH1157" s="452" t="n"/>
      <c r="AI1157" s="452" t="n"/>
      <c r="AJ1157" s="452" t="n"/>
      <c r="AK1157" s="452" t="n"/>
      <c r="AL1157" s="452" t="n"/>
      <c r="AM1157" s="452" t="n"/>
      <c r="AN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  <c r="Y1158" s="452" t="n"/>
      <c r="Z1158" s="452" t="n"/>
      <c r="AA1158" s="452" t="n"/>
      <c r="AB1158" s="452" t="n"/>
      <c r="AC1158" s="452" t="n"/>
      <c r="AD1158" s="452" t="n"/>
      <c r="AE1158" s="452" t="n"/>
      <c r="AF1158" s="452" t="n"/>
      <c r="AG1158" s="452" t="n"/>
      <c r="AH1158" s="452" t="n"/>
      <c r="AI1158" s="452" t="n"/>
      <c r="AJ1158" s="452" t="n"/>
      <c r="AK1158" s="452" t="n"/>
      <c r="AL1158" s="452" t="n"/>
      <c r="AM1158" s="452" t="n"/>
      <c r="AN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  <c r="Y1159" s="452" t="n"/>
      <c r="Z1159" s="452" t="n"/>
      <c r="AA1159" s="452" t="n"/>
      <c r="AB1159" s="452" t="n"/>
      <c r="AC1159" s="452" t="n"/>
      <c r="AD1159" s="452" t="n"/>
      <c r="AE1159" s="452" t="n"/>
      <c r="AF1159" s="452" t="n"/>
      <c r="AG1159" s="452" t="n"/>
      <c r="AH1159" s="452" t="n"/>
      <c r="AI1159" s="452" t="n"/>
      <c r="AJ1159" s="452" t="n"/>
      <c r="AK1159" s="452" t="n"/>
      <c r="AL1159" s="452" t="n"/>
      <c r="AM1159" s="452" t="n"/>
      <c r="AN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  <c r="Y1160" s="452" t="n"/>
      <c r="Z1160" s="452" t="n"/>
      <c r="AA1160" s="452" t="n"/>
      <c r="AB1160" s="452" t="n"/>
      <c r="AC1160" s="452" t="n"/>
      <c r="AD1160" s="452" t="n"/>
      <c r="AE1160" s="452" t="n"/>
      <c r="AF1160" s="452" t="n"/>
      <c r="AG1160" s="452" t="n"/>
      <c r="AH1160" s="452" t="n"/>
      <c r="AI1160" s="452" t="n"/>
      <c r="AJ1160" s="452" t="n"/>
      <c r="AK1160" s="452" t="n"/>
      <c r="AL1160" s="452" t="n"/>
      <c r="AM1160" s="452" t="n"/>
      <c r="AN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  <c r="Y1161" s="452" t="n"/>
      <c r="Z1161" s="452" t="n"/>
      <c r="AA1161" s="452" t="n"/>
      <c r="AB1161" s="452" t="n"/>
      <c r="AC1161" s="452" t="n"/>
      <c r="AD1161" s="452" t="n"/>
      <c r="AE1161" s="452" t="n"/>
      <c r="AF1161" s="452" t="n"/>
      <c r="AG1161" s="452" t="n"/>
      <c r="AH1161" s="452" t="n"/>
      <c r="AI1161" s="452" t="n"/>
      <c r="AJ1161" s="452" t="n"/>
      <c r="AK1161" s="452" t="n"/>
      <c r="AL1161" s="452" t="n"/>
      <c r="AM1161" s="452" t="n"/>
      <c r="AN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  <c r="Y1162" s="452" t="n"/>
      <c r="Z1162" s="452" t="n"/>
      <c r="AA1162" s="452" t="n"/>
      <c r="AB1162" s="452" t="n"/>
      <c r="AC1162" s="452" t="n"/>
      <c r="AD1162" s="452" t="n"/>
      <c r="AE1162" s="452" t="n"/>
      <c r="AF1162" s="452" t="n"/>
      <c r="AG1162" s="452" t="n"/>
      <c r="AH1162" s="452" t="n"/>
      <c r="AI1162" s="452" t="n"/>
      <c r="AJ1162" s="452" t="n"/>
      <c r="AK1162" s="452" t="n"/>
      <c r="AL1162" s="452" t="n"/>
      <c r="AM1162" s="452" t="n"/>
      <c r="AN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  <c r="Y1163" s="452" t="n"/>
      <c r="Z1163" s="452" t="n"/>
      <c r="AA1163" s="452" t="n"/>
      <c r="AB1163" s="452" t="n"/>
      <c r="AC1163" s="452" t="n"/>
      <c r="AD1163" s="452" t="n"/>
      <c r="AE1163" s="452" t="n"/>
      <c r="AF1163" s="452" t="n"/>
      <c r="AG1163" s="452" t="n"/>
      <c r="AH1163" s="452" t="n"/>
      <c r="AI1163" s="452" t="n"/>
      <c r="AJ1163" s="452" t="n"/>
      <c r="AK1163" s="452" t="n"/>
      <c r="AL1163" s="452" t="n"/>
      <c r="AM1163" s="452" t="n"/>
      <c r="AN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  <c r="Y1164" s="452" t="n"/>
      <c r="Z1164" s="452" t="n"/>
      <c r="AA1164" s="452" t="n"/>
      <c r="AB1164" s="452" t="n"/>
      <c r="AC1164" s="452" t="n"/>
      <c r="AD1164" s="452" t="n"/>
      <c r="AE1164" s="452" t="n"/>
      <c r="AF1164" s="452" t="n"/>
      <c r="AG1164" s="452" t="n"/>
      <c r="AH1164" s="452" t="n"/>
      <c r="AI1164" s="452" t="n"/>
      <c r="AJ1164" s="452" t="n"/>
      <c r="AK1164" s="452" t="n"/>
      <c r="AL1164" s="452" t="n"/>
      <c r="AM1164" s="452" t="n"/>
      <c r="AN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  <c r="Y1165" s="452" t="n"/>
      <c r="Z1165" s="452" t="n"/>
      <c r="AA1165" s="452" t="n"/>
      <c r="AB1165" s="452" t="n"/>
      <c r="AC1165" s="452" t="n"/>
      <c r="AD1165" s="452" t="n"/>
      <c r="AE1165" s="452" t="n"/>
      <c r="AF1165" s="452" t="n"/>
      <c r="AG1165" s="452" t="n"/>
      <c r="AH1165" s="452" t="n"/>
      <c r="AI1165" s="452" t="n"/>
      <c r="AJ1165" s="452" t="n"/>
      <c r="AK1165" s="452" t="n"/>
      <c r="AL1165" s="452" t="n"/>
      <c r="AM1165" s="452" t="n"/>
      <c r="AN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  <c r="Y1166" s="452" t="n"/>
      <c r="Z1166" s="452" t="n"/>
      <c r="AA1166" s="452" t="n"/>
      <c r="AB1166" s="452" t="n"/>
      <c r="AC1166" s="452" t="n"/>
      <c r="AD1166" s="452" t="n"/>
      <c r="AE1166" s="452" t="n"/>
      <c r="AF1166" s="452" t="n"/>
      <c r="AG1166" s="452" t="n"/>
      <c r="AH1166" s="452" t="n"/>
      <c r="AI1166" s="452" t="n"/>
      <c r="AJ1166" s="452" t="n"/>
      <c r="AK1166" s="452" t="n"/>
      <c r="AL1166" s="452" t="n"/>
      <c r="AM1166" s="452" t="n"/>
      <c r="AN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  <c r="Y1167" s="452" t="n"/>
      <c r="Z1167" s="452" t="n"/>
      <c r="AA1167" s="452" t="n"/>
      <c r="AB1167" s="452" t="n"/>
      <c r="AC1167" s="452" t="n"/>
      <c r="AD1167" s="452" t="n"/>
      <c r="AE1167" s="452" t="n"/>
      <c r="AF1167" s="452" t="n"/>
      <c r="AG1167" s="452" t="n"/>
      <c r="AH1167" s="452" t="n"/>
      <c r="AI1167" s="452" t="n"/>
      <c r="AJ1167" s="452" t="n"/>
      <c r="AK1167" s="452" t="n"/>
      <c r="AL1167" s="452" t="n"/>
      <c r="AM1167" s="452" t="n"/>
      <c r="AN1167" s="452" t="n"/>
    </row>
    <row r="1168">
      <c r="A1168" s="452" t="n"/>
      <c r="B1168" s="452" t="n"/>
      <c r="C1168" s="452" t="n"/>
      <c r="D1168" s="452" t="n"/>
      <c r="E1168" s="452" t="n"/>
      <c r="F1168" s="452" t="n"/>
      <c r="G1168" s="452" t="n"/>
      <c r="H1168" s="452" t="n"/>
      <c r="I1168" s="452" t="n"/>
      <c r="J1168" s="452" t="n"/>
      <c r="K1168" s="152" t="n"/>
      <c r="L1168" s="452" t="n"/>
      <c r="M1168" s="452" t="n"/>
      <c r="N1168" s="452" t="n"/>
      <c r="O1168" s="452" t="n"/>
      <c r="P1168" s="452" t="n"/>
      <c r="Q1168" s="452" t="n"/>
      <c r="R1168" s="452" t="n"/>
      <c r="S1168" s="452" t="n"/>
      <c r="T1168" s="452" t="n"/>
      <c r="U1168" s="452" t="n"/>
      <c r="V1168" s="452" t="n"/>
      <c r="W1168" s="452" t="n"/>
      <c r="X1168" s="452" t="n"/>
      <c r="Y1168" s="452" t="n"/>
      <c r="Z1168" s="452" t="n"/>
      <c r="AA1168" s="452" t="n"/>
      <c r="AB1168" s="452" t="n"/>
      <c r="AC1168" s="452" t="n"/>
      <c r="AD1168" s="452" t="n"/>
      <c r="AE1168" s="452" t="n"/>
      <c r="AF1168" s="452" t="n"/>
      <c r="AG1168" s="452" t="n"/>
      <c r="AH1168" s="452" t="n"/>
      <c r="AI1168" s="452" t="n"/>
      <c r="AJ1168" s="452" t="n"/>
      <c r="AK1168" s="452" t="n"/>
      <c r="AL1168" s="452" t="n"/>
      <c r="AM1168" s="452" t="n"/>
      <c r="AN1168" s="452" t="n"/>
    </row>
    <row r="1169">
      <c r="A1169" s="452" t="n"/>
      <c r="B1169" s="452" t="n"/>
      <c r="C1169" s="452" t="n"/>
      <c r="D1169" s="452" t="n"/>
      <c r="E1169" s="452" t="n"/>
      <c r="F1169" s="452" t="n"/>
      <c r="G1169" s="452" t="n"/>
      <c r="H1169" s="452" t="n"/>
      <c r="I1169" s="452" t="n"/>
      <c r="J1169" s="452" t="n"/>
      <c r="K1169" s="152" t="n"/>
      <c r="L1169" s="452" t="n"/>
      <c r="M1169" s="452" t="n"/>
      <c r="N1169" s="452" t="n"/>
      <c r="O1169" s="452" t="n"/>
      <c r="P1169" s="452" t="n"/>
      <c r="Q1169" s="452" t="n"/>
      <c r="R1169" s="452" t="n"/>
      <c r="S1169" s="452" t="n"/>
      <c r="T1169" s="452" t="n"/>
      <c r="U1169" s="452" t="n"/>
      <c r="V1169" s="452" t="n"/>
      <c r="W1169" s="452" t="n"/>
      <c r="X1169" s="452" t="n"/>
      <c r="Y1169" s="452" t="n"/>
      <c r="Z1169" s="452" t="n"/>
      <c r="AA1169" s="452" t="n"/>
      <c r="AB1169" s="452" t="n"/>
      <c r="AC1169" s="452" t="n"/>
      <c r="AD1169" s="452" t="n"/>
      <c r="AE1169" s="452" t="n"/>
      <c r="AF1169" s="452" t="n"/>
      <c r="AG1169" s="452" t="n"/>
      <c r="AH1169" s="452" t="n"/>
      <c r="AI1169" s="452" t="n"/>
      <c r="AJ1169" s="452" t="n"/>
      <c r="AK1169" s="452" t="n"/>
      <c r="AL1169" s="452" t="n"/>
      <c r="AM1169" s="452" t="n"/>
      <c r="AN1169" s="452" t="n"/>
    </row>
    <row r="1170">
      <c r="A1170" s="452" t="n"/>
      <c r="B1170" s="452" t="n"/>
      <c r="C1170" s="452" t="n"/>
      <c r="D1170" s="452" t="n"/>
      <c r="E1170" s="452" t="n"/>
      <c r="F1170" s="452" t="n"/>
      <c r="G1170" s="452" t="n"/>
      <c r="H1170" s="452" t="n"/>
      <c r="I1170" s="452" t="n"/>
      <c r="J1170" s="452" t="n"/>
      <c r="K1170" s="152" t="n"/>
      <c r="L1170" s="452" t="n"/>
      <c r="M1170" s="452" t="n"/>
      <c r="N1170" s="452" t="n"/>
      <c r="O1170" s="452" t="n"/>
      <c r="P1170" s="452" t="n"/>
      <c r="Q1170" s="452" t="n"/>
      <c r="R1170" s="452" t="n"/>
      <c r="S1170" s="452" t="n"/>
      <c r="T1170" s="452" t="n"/>
      <c r="U1170" s="452" t="n"/>
      <c r="V1170" s="452" t="n"/>
      <c r="W1170" s="452" t="n"/>
      <c r="X1170" s="452" t="n"/>
      <c r="Y1170" s="452" t="n"/>
      <c r="Z1170" s="452" t="n"/>
      <c r="AA1170" s="452" t="n"/>
      <c r="AB1170" s="452" t="n"/>
      <c r="AC1170" s="452" t="n"/>
      <c r="AD1170" s="452" t="n"/>
      <c r="AE1170" s="452" t="n"/>
      <c r="AF1170" s="452" t="n"/>
      <c r="AG1170" s="452" t="n"/>
      <c r="AH1170" s="452" t="n"/>
      <c r="AI1170" s="452" t="n"/>
      <c r="AJ1170" s="452" t="n"/>
      <c r="AK1170" s="452" t="n"/>
      <c r="AL1170" s="452" t="n"/>
      <c r="AM1170" s="452" t="n"/>
      <c r="AN1170" s="452" t="n"/>
    </row>
    <row r="1171">
      <c r="A1171" s="452" t="n"/>
      <c r="B1171" s="452" t="n"/>
      <c r="C1171" s="452" t="n"/>
      <c r="D1171" s="452" t="n"/>
      <c r="E1171" s="452" t="n"/>
      <c r="F1171" s="452" t="n"/>
      <c r="G1171" s="452" t="n"/>
      <c r="H1171" s="452" t="n"/>
      <c r="I1171" s="452" t="n"/>
      <c r="J1171" s="452" t="n"/>
      <c r="K1171" s="152" t="n"/>
      <c r="L1171" s="452" t="n"/>
      <c r="M1171" s="452" t="n"/>
      <c r="N1171" s="452" t="n"/>
      <c r="O1171" s="452" t="n"/>
      <c r="P1171" s="452" t="n"/>
      <c r="Q1171" s="452" t="n"/>
      <c r="R1171" s="452" t="n"/>
      <c r="S1171" s="452" t="n"/>
      <c r="T1171" s="452" t="n"/>
      <c r="U1171" s="452" t="n"/>
      <c r="V1171" s="452" t="n"/>
      <c r="W1171" s="452" t="n"/>
      <c r="X1171" s="452" t="n"/>
      <c r="Y1171" s="452" t="n"/>
      <c r="Z1171" s="452" t="n"/>
      <c r="AA1171" s="452" t="n"/>
      <c r="AB1171" s="452" t="n"/>
      <c r="AC1171" s="452" t="n"/>
      <c r="AD1171" s="452" t="n"/>
      <c r="AE1171" s="452" t="n"/>
      <c r="AF1171" s="452" t="n"/>
      <c r="AG1171" s="452" t="n"/>
      <c r="AH1171" s="452" t="n"/>
      <c r="AI1171" s="452" t="n"/>
      <c r="AJ1171" s="452" t="n"/>
      <c r="AK1171" s="452" t="n"/>
      <c r="AL1171" s="452" t="n"/>
      <c r="AM1171" s="452" t="n"/>
      <c r="AN1171" s="452" t="n"/>
    </row>
    <row r="1172">
      <c r="A1172" s="452" t="n"/>
      <c r="B1172" s="452" t="n"/>
      <c r="C1172" s="452" t="n"/>
      <c r="D1172" s="452" t="n"/>
      <c r="E1172" s="452" t="n"/>
      <c r="F1172" s="452" t="n"/>
      <c r="G1172" s="452" t="n"/>
      <c r="H1172" s="452" t="n"/>
      <c r="I1172" s="452" t="n"/>
      <c r="J1172" s="452" t="n"/>
      <c r="K1172" s="152" t="n"/>
      <c r="L1172" s="452" t="n"/>
      <c r="M1172" s="452" t="n"/>
      <c r="N1172" s="452" t="n"/>
      <c r="O1172" s="452" t="n"/>
      <c r="P1172" s="452" t="n"/>
      <c r="Q1172" s="452" t="n"/>
      <c r="R1172" s="452" t="n"/>
      <c r="S1172" s="452" t="n"/>
      <c r="T1172" s="452" t="n"/>
      <c r="U1172" s="452" t="n"/>
      <c r="V1172" s="452" t="n"/>
      <c r="W1172" s="452" t="n"/>
      <c r="X1172" s="452" t="n"/>
      <c r="Y1172" s="452" t="n"/>
      <c r="Z1172" s="452" t="n"/>
      <c r="AA1172" s="452" t="n"/>
      <c r="AB1172" s="452" t="n"/>
      <c r="AC1172" s="452" t="n"/>
      <c r="AD1172" s="452" t="n"/>
      <c r="AE1172" s="452" t="n"/>
      <c r="AF1172" s="452" t="n"/>
      <c r="AG1172" s="452" t="n"/>
      <c r="AH1172" s="452" t="n"/>
      <c r="AI1172" s="452" t="n"/>
      <c r="AJ1172" s="452" t="n"/>
      <c r="AK1172" s="452" t="n"/>
      <c r="AL1172" s="452" t="n"/>
      <c r="AM1172" s="452" t="n"/>
      <c r="AN1172" s="452" t="n"/>
    </row>
    <row r="1173">
      <c r="A1173" s="452" t="n"/>
      <c r="B1173" s="452" t="n"/>
      <c r="C1173" s="452" t="n"/>
      <c r="D1173" s="452" t="n"/>
      <c r="E1173" s="452" t="n"/>
      <c r="F1173" s="452" t="n"/>
      <c r="G1173" s="452" t="n"/>
      <c r="H1173" s="452" t="n"/>
      <c r="I1173" s="452" t="n"/>
      <c r="J1173" s="452" t="n"/>
      <c r="K1173" s="152" t="n"/>
      <c r="L1173" s="452" t="n"/>
      <c r="M1173" s="452" t="n"/>
      <c r="N1173" s="452" t="n"/>
      <c r="O1173" s="452" t="n"/>
      <c r="P1173" s="452" t="n"/>
      <c r="Q1173" s="452" t="n"/>
      <c r="R1173" s="452" t="n"/>
      <c r="S1173" s="452" t="n"/>
      <c r="T1173" s="452" t="n"/>
      <c r="U1173" s="452" t="n"/>
      <c r="V1173" s="452" t="n"/>
      <c r="W1173" s="452" t="n"/>
      <c r="X1173" s="452" t="n"/>
      <c r="Y1173" s="452" t="n"/>
      <c r="Z1173" s="452" t="n"/>
      <c r="AA1173" s="452" t="n"/>
      <c r="AB1173" s="452" t="n"/>
      <c r="AC1173" s="452" t="n"/>
      <c r="AD1173" s="452" t="n"/>
      <c r="AE1173" s="452" t="n"/>
      <c r="AF1173" s="452" t="n"/>
      <c r="AG1173" s="452" t="n"/>
      <c r="AH1173" s="452" t="n"/>
      <c r="AI1173" s="452" t="n"/>
      <c r="AJ1173" s="452" t="n"/>
      <c r="AK1173" s="452" t="n"/>
      <c r="AL1173" s="452" t="n"/>
      <c r="AM1173" s="452" t="n"/>
      <c r="AN1173" s="452" t="n"/>
    </row>
    <row r="1174">
      <c r="A1174" s="452" t="n"/>
      <c r="B1174" s="452" t="n"/>
      <c r="C1174" s="452" t="n"/>
      <c r="D1174" s="452" t="n"/>
      <c r="E1174" s="452" t="n"/>
      <c r="F1174" s="452" t="n"/>
      <c r="G1174" s="452" t="n"/>
      <c r="H1174" s="452" t="n"/>
      <c r="I1174" s="452" t="n"/>
      <c r="J1174" s="452" t="n"/>
      <c r="K1174" s="152" t="n"/>
      <c r="L1174" s="452" t="n"/>
      <c r="M1174" s="452" t="n"/>
      <c r="N1174" s="452" t="n"/>
      <c r="O1174" s="452" t="n"/>
      <c r="P1174" s="452" t="n"/>
      <c r="Q1174" s="452" t="n"/>
      <c r="R1174" s="452" t="n"/>
      <c r="S1174" s="452" t="n"/>
      <c r="T1174" s="452" t="n"/>
      <c r="U1174" s="452" t="n"/>
      <c r="V1174" s="452" t="n"/>
      <c r="W1174" s="452" t="n"/>
      <c r="X1174" s="452" t="n"/>
      <c r="Y1174" s="452" t="n"/>
      <c r="Z1174" s="452" t="n"/>
      <c r="AA1174" s="452" t="n"/>
      <c r="AB1174" s="452" t="n"/>
      <c r="AC1174" s="452" t="n"/>
      <c r="AD1174" s="452" t="n"/>
      <c r="AE1174" s="452" t="n"/>
      <c r="AF1174" s="452" t="n"/>
      <c r="AG1174" s="452" t="n"/>
      <c r="AH1174" s="452" t="n"/>
      <c r="AI1174" s="452" t="n"/>
      <c r="AJ1174" s="452" t="n"/>
      <c r="AK1174" s="452" t="n"/>
      <c r="AL1174" s="452" t="n"/>
      <c r="AM1174" s="452" t="n"/>
      <c r="AN1174" s="452" t="n"/>
    </row>
    <row r="1175">
      <c r="A1175" s="452" t="n"/>
      <c r="B1175" s="452" t="n"/>
      <c r="C1175" s="452" t="n"/>
      <c r="D1175" s="452" t="n"/>
      <c r="E1175" s="452" t="n"/>
      <c r="F1175" s="452" t="n"/>
      <c r="G1175" s="452" t="n"/>
      <c r="H1175" s="452" t="n"/>
      <c r="I1175" s="452" t="n"/>
      <c r="J1175" s="452" t="n"/>
      <c r="K1175" s="152" t="n"/>
      <c r="L1175" s="452" t="n"/>
      <c r="M1175" s="452" t="n"/>
      <c r="N1175" s="452" t="n"/>
      <c r="O1175" s="452" t="n"/>
      <c r="P1175" s="452" t="n"/>
      <c r="Q1175" s="452" t="n"/>
      <c r="R1175" s="452" t="n"/>
      <c r="S1175" s="452" t="n"/>
      <c r="T1175" s="452" t="n"/>
      <c r="U1175" s="452" t="n"/>
      <c r="V1175" s="452" t="n"/>
      <c r="W1175" s="452" t="n"/>
      <c r="X1175" s="452" t="n"/>
      <c r="Y1175" s="452" t="n"/>
      <c r="Z1175" s="452" t="n"/>
      <c r="AA1175" s="452" t="n"/>
      <c r="AB1175" s="452" t="n"/>
      <c r="AC1175" s="452" t="n"/>
      <c r="AD1175" s="452" t="n"/>
      <c r="AE1175" s="452" t="n"/>
      <c r="AF1175" s="452" t="n"/>
      <c r="AG1175" s="452" t="n"/>
      <c r="AH1175" s="452" t="n"/>
      <c r="AI1175" s="452" t="n"/>
      <c r="AJ1175" s="452" t="n"/>
      <c r="AK1175" s="452" t="n"/>
      <c r="AL1175" s="452" t="n"/>
      <c r="AM1175" s="452" t="n"/>
      <c r="AN1175" s="452" t="n"/>
    </row>
    <row r="1176">
      <c r="A1176" s="452" t="n"/>
      <c r="B1176" s="452" t="n"/>
      <c r="C1176" s="452" t="n"/>
      <c r="D1176" s="452" t="n"/>
      <c r="E1176" s="452" t="n"/>
      <c r="F1176" s="452" t="n"/>
      <c r="G1176" s="452" t="n"/>
      <c r="H1176" s="452" t="n"/>
      <c r="I1176" s="452" t="n"/>
      <c r="J1176" s="452" t="n"/>
      <c r="K1176" s="152" t="n"/>
      <c r="L1176" s="452" t="n"/>
      <c r="M1176" s="452" t="n"/>
      <c r="N1176" s="452" t="n"/>
      <c r="O1176" s="452" t="n"/>
      <c r="P1176" s="452" t="n"/>
      <c r="Q1176" s="452" t="n"/>
      <c r="R1176" s="452" t="n"/>
      <c r="S1176" s="452" t="n"/>
      <c r="T1176" s="452" t="n"/>
      <c r="U1176" s="452" t="n"/>
      <c r="V1176" s="452" t="n"/>
      <c r="W1176" s="452" t="n"/>
      <c r="X1176" s="452" t="n"/>
      <c r="Y1176" s="452" t="n"/>
      <c r="Z1176" s="452" t="n"/>
      <c r="AA1176" s="452" t="n"/>
      <c r="AB1176" s="452" t="n"/>
      <c r="AC1176" s="452" t="n"/>
      <c r="AD1176" s="452" t="n"/>
      <c r="AE1176" s="452" t="n"/>
      <c r="AF1176" s="452" t="n"/>
      <c r="AG1176" s="452" t="n"/>
      <c r="AH1176" s="452" t="n"/>
      <c r="AI1176" s="452" t="n"/>
      <c r="AJ1176" s="452" t="n"/>
      <c r="AK1176" s="452" t="n"/>
      <c r="AL1176" s="452" t="n"/>
      <c r="AM1176" s="452" t="n"/>
      <c r="AN1176" s="452" t="n"/>
    </row>
    <row r="1177">
      <c r="A1177" s="452" t="n"/>
      <c r="B1177" s="452" t="n"/>
      <c r="C1177" s="452" t="n"/>
      <c r="D1177" s="452" t="n"/>
      <c r="E1177" s="452" t="n"/>
      <c r="F1177" s="452" t="n"/>
      <c r="G1177" s="452" t="n"/>
      <c r="H1177" s="452" t="n"/>
      <c r="I1177" s="452" t="n"/>
      <c r="J1177" s="452" t="n"/>
      <c r="K1177" s="152" t="n"/>
      <c r="L1177" s="452" t="n"/>
      <c r="M1177" s="452" t="n"/>
      <c r="N1177" s="452" t="n"/>
      <c r="O1177" s="452" t="n"/>
      <c r="P1177" s="452" t="n"/>
      <c r="Q1177" s="452" t="n"/>
      <c r="R1177" s="452" t="n"/>
      <c r="S1177" s="452" t="n"/>
      <c r="T1177" s="452" t="n"/>
      <c r="U1177" s="452" t="n"/>
      <c r="V1177" s="452" t="n"/>
      <c r="W1177" s="452" t="n"/>
      <c r="X1177" s="452" t="n"/>
      <c r="Y1177" s="452" t="n"/>
      <c r="Z1177" s="452" t="n"/>
      <c r="AA1177" s="452" t="n"/>
      <c r="AB1177" s="452" t="n"/>
      <c r="AC1177" s="452" t="n"/>
      <c r="AD1177" s="452" t="n"/>
      <c r="AE1177" s="452" t="n"/>
      <c r="AF1177" s="452" t="n"/>
      <c r="AG1177" s="452" t="n"/>
      <c r="AH1177" s="452" t="n"/>
      <c r="AI1177" s="452" t="n"/>
      <c r="AJ1177" s="452" t="n"/>
      <c r="AK1177" s="452" t="n"/>
      <c r="AL1177" s="452" t="n"/>
      <c r="AM1177" s="452" t="n"/>
      <c r="AN1177" s="452" t="n"/>
    </row>
    <row r="1178">
      <c r="A1178" s="452" t="n"/>
      <c r="B1178" s="452" t="n"/>
      <c r="C1178" s="452" t="n"/>
      <c r="D1178" s="452" t="n"/>
      <c r="E1178" s="452" t="n"/>
      <c r="F1178" s="452" t="n"/>
      <c r="G1178" s="452" t="n"/>
      <c r="H1178" s="452" t="n"/>
      <c r="I1178" s="452" t="n"/>
      <c r="J1178" s="452" t="n"/>
      <c r="K1178" s="152" t="n"/>
      <c r="L1178" s="452" t="n"/>
      <c r="M1178" s="452" t="n"/>
      <c r="N1178" s="452" t="n"/>
      <c r="O1178" s="452" t="n"/>
      <c r="P1178" s="452" t="n"/>
      <c r="Q1178" s="452" t="n"/>
      <c r="R1178" s="452" t="n"/>
      <c r="S1178" s="452" t="n"/>
      <c r="T1178" s="452" t="n"/>
      <c r="U1178" s="452" t="n"/>
      <c r="V1178" s="452" t="n"/>
      <c r="W1178" s="452" t="n"/>
      <c r="X1178" s="452" t="n"/>
      <c r="Y1178" s="452" t="n"/>
      <c r="Z1178" s="452" t="n"/>
      <c r="AA1178" s="452" t="n"/>
      <c r="AB1178" s="452" t="n"/>
      <c r="AC1178" s="452" t="n"/>
      <c r="AD1178" s="452" t="n"/>
      <c r="AE1178" s="452" t="n"/>
      <c r="AF1178" s="452" t="n"/>
      <c r="AG1178" s="452" t="n"/>
      <c r="AH1178" s="452" t="n"/>
      <c r="AI1178" s="452" t="n"/>
      <c r="AJ1178" s="452" t="n"/>
      <c r="AK1178" s="452" t="n"/>
      <c r="AL1178" s="452" t="n"/>
      <c r="AM1178" s="452" t="n"/>
      <c r="AN1178" s="452" t="n"/>
    </row>
    <row r="1179">
      <c r="A1179" s="452" t="n"/>
      <c r="B1179" s="452" t="n"/>
      <c r="C1179" s="452" t="n"/>
      <c r="D1179" s="452" t="n"/>
      <c r="E1179" s="452" t="n"/>
      <c r="F1179" s="452" t="n"/>
      <c r="G1179" s="452" t="n"/>
      <c r="H1179" s="452" t="n"/>
      <c r="I1179" s="452" t="n"/>
      <c r="J1179" s="452" t="n"/>
      <c r="K1179" s="152" t="n"/>
      <c r="L1179" s="452" t="n"/>
      <c r="M1179" s="452" t="n"/>
      <c r="N1179" s="452" t="n"/>
      <c r="O1179" s="452" t="n"/>
      <c r="P1179" s="452" t="n"/>
      <c r="Q1179" s="452" t="n"/>
      <c r="R1179" s="452" t="n"/>
      <c r="S1179" s="452" t="n"/>
      <c r="T1179" s="452" t="n"/>
      <c r="U1179" s="452" t="n"/>
      <c r="V1179" s="452" t="n"/>
      <c r="W1179" s="452" t="n"/>
      <c r="X1179" s="452" t="n"/>
      <c r="Y1179" s="452" t="n"/>
      <c r="Z1179" s="452" t="n"/>
      <c r="AA1179" s="452" t="n"/>
      <c r="AB1179" s="452" t="n"/>
      <c r="AC1179" s="452" t="n"/>
      <c r="AD1179" s="452" t="n"/>
      <c r="AE1179" s="452" t="n"/>
      <c r="AF1179" s="452" t="n"/>
      <c r="AG1179" s="452" t="n"/>
      <c r="AH1179" s="452" t="n"/>
      <c r="AI1179" s="452" t="n"/>
      <c r="AJ1179" s="452" t="n"/>
      <c r="AK1179" s="452" t="n"/>
      <c r="AL1179" s="452" t="n"/>
      <c r="AM1179" s="452" t="n"/>
      <c r="AN1179" s="452" t="n"/>
    </row>
    <row r="1180">
      <c r="A1180" s="452" t="n"/>
      <c r="B1180" s="452" t="n"/>
      <c r="C1180" s="452" t="n"/>
      <c r="D1180" s="452" t="n"/>
      <c r="E1180" s="452" t="n"/>
      <c r="F1180" s="452" t="n"/>
      <c r="G1180" s="452" t="n"/>
      <c r="H1180" s="452" t="n"/>
      <c r="I1180" s="452" t="n"/>
      <c r="J1180" s="452" t="n"/>
      <c r="K1180" s="152" t="n"/>
      <c r="L1180" s="452" t="n"/>
      <c r="M1180" s="452" t="n"/>
      <c r="N1180" s="452" t="n"/>
      <c r="O1180" s="452" t="n"/>
      <c r="P1180" s="452" t="n"/>
      <c r="Q1180" s="452" t="n"/>
      <c r="R1180" s="452" t="n"/>
      <c r="S1180" s="452" t="n"/>
      <c r="T1180" s="452" t="n"/>
      <c r="U1180" s="452" t="n"/>
      <c r="V1180" s="452" t="n"/>
      <c r="W1180" s="452" t="n"/>
      <c r="X1180" s="452" t="n"/>
      <c r="Y1180" s="452" t="n"/>
      <c r="Z1180" s="452" t="n"/>
      <c r="AA1180" s="452" t="n"/>
      <c r="AB1180" s="452" t="n"/>
      <c r="AC1180" s="452" t="n"/>
      <c r="AD1180" s="452" t="n"/>
      <c r="AE1180" s="452" t="n"/>
      <c r="AF1180" s="452" t="n"/>
      <c r="AG1180" s="452" t="n"/>
      <c r="AH1180" s="452" t="n"/>
      <c r="AI1180" s="452" t="n"/>
      <c r="AJ1180" s="452" t="n"/>
      <c r="AK1180" s="452" t="n"/>
      <c r="AL1180" s="452" t="n"/>
      <c r="AM1180" s="452" t="n"/>
      <c r="AN1180" s="452" t="n"/>
    </row>
    <row r="1181">
      <c r="A1181" s="452" t="n"/>
      <c r="B1181" s="452" t="n"/>
      <c r="C1181" s="452" t="n"/>
      <c r="D1181" s="452" t="n"/>
      <c r="E1181" s="452" t="n"/>
      <c r="F1181" s="452" t="n"/>
      <c r="G1181" s="452" t="n"/>
      <c r="H1181" s="452" t="n"/>
      <c r="I1181" s="452" t="n"/>
      <c r="J1181" s="452" t="n"/>
      <c r="K1181" s="152" t="n"/>
      <c r="L1181" s="452" t="n"/>
      <c r="M1181" s="452" t="n"/>
      <c r="N1181" s="452" t="n"/>
      <c r="O1181" s="452" t="n"/>
      <c r="P1181" s="452" t="n"/>
      <c r="Q1181" s="452" t="n"/>
      <c r="R1181" s="452" t="n"/>
      <c r="S1181" s="452" t="n"/>
      <c r="T1181" s="452" t="n"/>
      <c r="U1181" s="452" t="n"/>
      <c r="V1181" s="452" t="n"/>
      <c r="W1181" s="452" t="n"/>
      <c r="X1181" s="452" t="n"/>
      <c r="Y1181" s="452" t="n"/>
      <c r="Z1181" s="452" t="n"/>
      <c r="AA1181" s="452" t="n"/>
      <c r="AB1181" s="452" t="n"/>
      <c r="AC1181" s="452" t="n"/>
      <c r="AD1181" s="452" t="n"/>
      <c r="AE1181" s="452" t="n"/>
      <c r="AF1181" s="452" t="n"/>
      <c r="AG1181" s="452" t="n"/>
      <c r="AH1181" s="452" t="n"/>
      <c r="AI1181" s="452" t="n"/>
      <c r="AJ1181" s="452" t="n"/>
      <c r="AK1181" s="452" t="n"/>
      <c r="AL1181" s="452" t="n"/>
      <c r="AM1181" s="452" t="n"/>
      <c r="AN1181" s="452" t="n"/>
    </row>
  </sheetData>
  <autoFilter ref="$A$3:$AN$73">
    <filterColumn colId="10" hiddenButton="0" showButton="1">
      <filters>
        <filter val="Лента вибродемпфирующая СтопЗвук V 150х4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2026-07-13T07:20:36Z</dcterms:created>
  <dcterms:modified xmlns:dcterms="http://purl.org/dc/terms/" xmlns:xsi="http://www.w3.org/2001/XMLSchema-instance" xsi:type="dcterms:W3CDTF">2026-07-13T12:29:16Z</dcterms:modified>
</cp:coreProperties>
</file>
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рпус 3 кладка Н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0.000"/>
  </numFmts>
  <fonts count="10">
    <font>
      <name val="Calibri"/>
      <family val="2"/>
      <color theme="1"/>
      <sz val="11"/>
      <scheme val="minor"/>
    </font>
    <font>
      <name val="Times New Roman"/>
      <b val="1"/>
      <color theme="1"/>
      <sz val="11"/>
    </font>
    <font>
      <name val="Calibri"/>
      <b val="1"/>
      <color theme="1"/>
      <sz val="11"/>
    </font>
    <font>
      <name val="Times New Roman"/>
      <b val="1"/>
      <color theme="1"/>
      <sz val="12"/>
    </font>
    <font>
      <name val="Arial"/>
      <i val="1"/>
      <color theme="1"/>
    </font>
    <font>
      <name val="Times New Roman"/>
      <i val="1"/>
      <color theme="1"/>
      <sz val="11"/>
    </font>
    <font>
      <name val="Arial"/>
      <color theme="1"/>
      <scheme val="minor"/>
    </font>
    <font>
      <name val="Arial"/>
      <color theme="1"/>
    </font>
    <font>
      <name val="Arial"/>
      <color theme="1"/>
      <sz val="10"/>
      <scheme val="minor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2" fontId="6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/>
    </xf>
    <xf numFmtId="2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2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6" fontId="7" fillId="3" borderId="1" applyAlignment="1" pivotButton="0" quotePrefix="0" xfId="0">
      <alignment horizontal="center" vertical="center"/>
    </xf>
    <xf numFmtId="1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"/>
  <sheetViews>
    <sheetView workbookViewId="0">
      <selection activeCell="A1" sqref="A1"/>
    </sheetView>
  </sheetViews>
  <sheetFormatPr baseColWidth="8" defaultRowHeight="15"/>
  <cols>
    <col width="18.88" customWidth="1" min="6" max="6"/>
    <col width="16.13" customWidth="1" min="8" max="8"/>
    <col width="12.63" customWidth="1" min="9" max="9"/>
    <col width="36.5" customWidth="1" min="11" max="11"/>
    <col width="12.63" customWidth="1" min="15" max="15"/>
    <col width="32.63" customWidth="1" min="21" max="21"/>
    <col width="30" customWidth="1" min="23" max="23"/>
  </cols>
  <sheetData>
    <row r="1">
      <c r="A1" s="1" t="inlineStr">
        <is>
          <t>Р</t>
        </is>
      </c>
      <c r="B1" s="1" t="inlineStr">
        <is>
          <t>Р</t>
        </is>
      </c>
      <c r="C1" s="1" t="inlineStr">
        <is>
          <t>Р</t>
        </is>
      </c>
      <c r="D1" s="1" t="inlineStr">
        <is>
          <t>Р</t>
        </is>
      </c>
      <c r="E1" s="1" t="inlineStr">
        <is>
          <t>Р</t>
        </is>
      </c>
      <c r="F1" s="1" t="inlineStr">
        <is>
          <t>Р</t>
        </is>
      </c>
      <c r="G1" s="1" t="inlineStr">
        <is>
          <t>Р</t>
        </is>
      </c>
      <c r="H1" s="1" t="inlineStr">
        <is>
          <t>С</t>
        </is>
      </c>
      <c r="I1" s="1" t="inlineStr">
        <is>
          <t>С</t>
        </is>
      </c>
      <c r="J1" s="1" t="inlineStr">
        <is>
          <t>Р</t>
        </is>
      </c>
      <c r="K1" s="1" t="inlineStr">
        <is>
          <t>Р</t>
        </is>
      </c>
      <c r="L1" s="1" t="inlineStr">
        <is>
          <t>Р</t>
        </is>
      </c>
      <c r="M1" s="1" t="inlineStr">
        <is>
          <t>Р</t>
        </is>
      </c>
      <c r="N1" s="1" t="inlineStr">
        <is>
          <t>Р</t>
        </is>
      </c>
      <c r="O1" s="1" t="inlineStr">
        <is>
          <t>Р</t>
        </is>
      </c>
      <c r="P1" s="1" t="inlineStr">
        <is>
          <t>Р</t>
        </is>
      </c>
      <c r="Q1" s="1" t="inlineStr">
        <is>
          <t>Р</t>
        </is>
      </c>
      <c r="R1" s="1" t="inlineStr">
        <is>
          <t>Р</t>
        </is>
      </c>
      <c r="S1" s="1" t="inlineStr">
        <is>
          <t>С</t>
        </is>
      </c>
      <c r="T1" s="1" t="inlineStr">
        <is>
          <t>С</t>
        </is>
      </c>
      <c r="U1" s="1" t="inlineStr">
        <is>
          <t>Р</t>
        </is>
      </c>
      <c r="V1" s="2" t="inlineStr">
        <is>
          <t>Р</t>
        </is>
      </c>
      <c r="W1" t="inlineStr">
        <is>
          <t>Р</t>
        </is>
      </c>
    </row>
    <row r="2">
      <c r="A2" s="1" t="inlineStr">
        <is>
          <t>Поз.</t>
        </is>
      </c>
      <c r="B2" s="1" t="inlineStr">
        <is>
          <t>Шифр проекта</t>
        </is>
      </c>
      <c r="C2" s="1" t="inlineStr">
        <is>
          <t>Дата выдачи РД или ИЗМа</t>
        </is>
      </c>
      <c r="D2" s="1" t="inlineStr">
        <is>
          <t>Система</t>
        </is>
      </c>
      <c r="E2" s="1" t="inlineStr">
        <is>
          <t>Указать базовый материал</t>
        </is>
      </c>
      <c r="F2" s="1" t="inlineStr">
        <is>
          <t>Вид работ</t>
        </is>
      </c>
      <c r="G2" s="1" t="inlineStr">
        <is>
          <t xml:space="preserve">Корпус </t>
        </is>
      </c>
      <c r="H2" s="1" t="inlineStr">
        <is>
          <t xml:space="preserve">Наименование Работ </t>
        </is>
      </c>
      <c r="I2" s="1" t="inlineStr">
        <is>
          <t>Ед. изм. работ</t>
        </is>
      </c>
      <c r="J2" s="1" t="inlineStr">
        <is>
          <t>Объем работ</t>
        </is>
      </c>
      <c r="K2" s="1" t="inlineStr">
        <is>
          <t>Облицовка из ГКЛВ (2 слоя) на штатном металокаркасе (27мм)
с заполнением матами по типу "Шумостоп"</t>
        </is>
      </c>
      <c r="L2" s="1" t="inlineStr">
        <is>
          <t>Ед. изм. (РД)</t>
        </is>
      </c>
      <c r="M2" s="1" t="inlineStr">
        <is>
          <t>Кол-во по проекту (последняя версия)</t>
        </is>
      </c>
      <c r="N2" s="1" t="inlineStr">
        <is>
          <t>Итого в смету (в ед.изм РД)</t>
        </is>
      </c>
      <c r="O2" s="3" t="inlineStr">
        <is>
          <t>Добавлено по запросу площадки (Работы)</t>
        </is>
      </c>
      <c r="P2" s="3" t="inlineStr">
        <is>
          <t>Добавлено по запросу площадки (только мат.)</t>
        </is>
      </c>
      <c r="Q2" s="1" t="inlineStr">
        <is>
          <t>Итого в смету (в ед.изм номенклатур)</t>
        </is>
      </c>
      <c r="R2" s="1" t="inlineStr">
        <is>
          <t>Ед. изм. (НОМ.)</t>
        </is>
      </c>
      <c r="S2" s="1" t="inlineStr">
        <is>
          <t>Номенклатура</t>
        </is>
      </c>
      <c r="T2" s="1" t="inlineStr">
        <is>
          <t>Наименование производителя</t>
        </is>
      </c>
      <c r="U2" s="1" t="inlineStr">
        <is>
          <t>Примечание</t>
        </is>
      </c>
      <c r="V2" s="4" t="inlineStr">
        <is>
          <t>Коэф. расхода</t>
        </is>
      </c>
      <c r="W2" t="inlineStr">
        <is>
          <t>Этаж 1 (проверено по ПД)</t>
        </is>
      </c>
    </row>
    <row r="3">
      <c r="A3" s="5" t="inlineStr">
        <is>
          <t>мат. (чтобы материал попал в сводную)</t>
        </is>
      </c>
      <c r="B3" s="5" t="inlineStr">
        <is>
          <t>ШИФР (проекта полностью)</t>
        </is>
      </c>
      <c r="C3" s="5" t="inlineStr">
        <is>
          <t>Дата выдачи комплекта</t>
        </is>
      </c>
      <c r="D3" s="5" t="inlineStr">
        <is>
          <t>Раздел</t>
        </is>
      </c>
      <c r="E3" s="5" t="inlineStr">
        <is>
          <t>Материал относительно которого считается объем работ</t>
        </is>
      </c>
      <c r="F3" s="5" t="inlineStr">
        <is>
          <t>Состав работ</t>
        </is>
      </c>
      <c r="G3" s="5" t="inlineStr">
        <is>
          <t>Номер корпуса</t>
        </is>
      </c>
      <c r="H3" s="5" t="inlineStr">
        <is>
          <t>Наименование работ под материал из 1С/договора субподряда</t>
        </is>
      </c>
      <c r="I3" s="6" t="n"/>
      <c r="J3" s="5" t="inlineStr">
        <is>
          <t>Объем работ на базовые материалы</t>
        </is>
      </c>
      <c r="K3" s="5" t="inlineStr">
        <is>
          <t>Все харрактеристики со спецификации по материалу</t>
        </is>
      </c>
      <c r="L3" s="5" t="inlineStr">
        <is>
          <t>Ед.изм по РД</t>
        </is>
      </c>
      <c r="M3" s="5" t="inlineStr">
        <is>
          <t>Кол-во со спецификации</t>
        </is>
      </c>
      <c r="N3" s="5" t="inlineStr">
        <is>
          <t>Кол-во по подсчету в ед.изм.РД (Сумма по этажам)</t>
        </is>
      </c>
      <c r="O3" s="6" t="n"/>
      <c r="P3" s="6" t="n"/>
      <c r="Q3" s="5" t="inlineStr">
        <is>
          <t>Итого с коэф.перевода</t>
        </is>
      </c>
      <c r="R3" s="5" t="inlineStr">
        <is>
          <t>ед. изм. НОМЕНКЛАТУРЫ</t>
        </is>
      </c>
      <c r="S3" s="5" t="inlineStr">
        <is>
          <t>Соответствующая позиции номенклатура</t>
        </is>
      </c>
      <c r="T3" s="5" t="inlineStr">
        <is>
          <t>Соответствующее наименование производителя</t>
        </is>
      </c>
      <c r="U3" s="5" t="inlineStr">
        <is>
          <t>Доп. информация</t>
        </is>
      </c>
      <c r="V3" s="7" t="n"/>
      <c r="W3" t="inlineStr">
        <is>
          <t>Кол-во на этаже 1 (сверено с ПД floor-1)</t>
        </is>
      </c>
    </row>
    <row r="4">
      <c r="A4" s="8" t="inlineStr">
        <is>
          <t>мат.</t>
        </is>
      </c>
      <c r="B4" s="8" t="inlineStr">
        <is>
          <t>13АВ-РД-АР1.1-К3</t>
        </is>
      </c>
      <c r="C4" s="9" t="n">
        <v>45974</v>
      </c>
      <c r="D4" s="10" t="inlineStr">
        <is>
          <t>Кладка</t>
        </is>
      </c>
      <c r="E4" s="10" t="inlineStr">
        <is>
          <t>БАЗА</t>
        </is>
      </c>
      <c r="F4" s="8" t="inlineStr">
        <is>
          <t>Наружные стены D600 250мм</t>
        </is>
      </c>
      <c r="G4" s="11" t="inlineStr">
        <is>
          <t>Корпус 3</t>
        </is>
      </c>
      <c r="H4" s="10" t="n"/>
      <c r="I4" s="10" t="inlineStr">
        <is>
          <t>м3</t>
        </is>
      </c>
      <c r="J4" s="12" t="n"/>
      <c r="K4" s="13" t="inlineStr">
        <is>
          <t>Газобетонные блоки D600 толщиной 250 мм, ГОСТ 31359-2007</t>
        </is>
      </c>
      <c r="L4" s="10" t="inlineStr">
        <is>
          <t>м3</t>
        </is>
      </c>
      <c r="M4" s="10" t="n">
        <v>423.32</v>
      </c>
      <c r="N4" s="10">
        <f>W4</f>
        <v/>
      </c>
      <c r="O4" s="10" t="n"/>
      <c r="P4" s="10" t="n"/>
      <c r="Q4" s="14">
        <f>N4*V4+P4</f>
        <v/>
      </c>
      <c r="R4" s="10" t="inlineStr">
        <is>
          <t>м3</t>
        </is>
      </c>
      <c r="S4" s="10" t="n"/>
      <c r="T4" s="10" t="n"/>
      <c r="U4" s="10" t="inlineStr">
        <is>
          <t>СН-1.1</t>
        </is>
      </c>
      <c r="V4" s="10" t="n">
        <v>1</v>
      </c>
      <c r="W4" t="n">
        <v>4.793</v>
      </c>
    </row>
    <row r="5">
      <c r="A5" s="15" t="n"/>
      <c r="B5" s="15" t="inlineStr">
        <is>
          <t>13АВ-РД-АР1.1-К3</t>
        </is>
      </c>
      <c r="C5" s="16" t="n">
        <v>45974</v>
      </c>
      <c r="D5" s="17" t="inlineStr">
        <is>
          <t>Кладка</t>
        </is>
      </c>
      <c r="E5" s="17" t="n"/>
      <c r="F5" s="15" t="inlineStr">
        <is>
          <t>Наружные стены D600 250мм</t>
        </is>
      </c>
      <c r="G5" s="15" t="inlineStr">
        <is>
          <t>Корпус 3</t>
        </is>
      </c>
      <c r="H5" s="17" t="n"/>
      <c r="I5" s="17" t="n"/>
      <c r="J5" s="18" t="n"/>
      <c r="K5" s="19" t="inlineStr">
        <is>
          <t>Вертикалное примыкание к ЖБ стенам</t>
        </is>
      </c>
      <c r="L5" s="20" t="inlineStr">
        <is>
          <t>м.п.</t>
        </is>
      </c>
      <c r="M5" s="21" t="n">
        <v>0</v>
      </c>
      <c r="N5" s="21">
        <f>W5</f>
        <v/>
      </c>
      <c r="O5" s="22" t="n">
        <v>0</v>
      </c>
      <c r="P5" s="22" t="n">
        <v>0</v>
      </c>
      <c r="Q5" s="21">
        <f>N5*V5+P5</f>
        <v/>
      </c>
      <c r="R5" s="22" t="inlineStr">
        <is>
          <t>м.п.</t>
        </is>
      </c>
      <c r="S5" s="17" t="n"/>
      <c r="T5" s="17" t="n"/>
      <c r="U5" s="19" t="inlineStr">
        <is>
          <t>Вертикалное примыкание к ЖБ стенам</t>
        </is>
      </c>
      <c r="V5" s="17" t="n">
        <v>1</v>
      </c>
      <c r="W5" t="n">
        <v>0</v>
      </c>
    </row>
    <row r="6">
      <c r="A6" s="23" t="n"/>
      <c r="B6" s="23" t="inlineStr">
        <is>
          <t>13АВ-РД-АР1.1-К3</t>
        </is>
      </c>
      <c r="C6" s="16" t="n">
        <v>45974</v>
      </c>
      <c r="D6" s="22" t="inlineStr">
        <is>
          <t>Кладка</t>
        </is>
      </c>
      <c r="E6" s="24" t="n"/>
      <c r="F6" s="25" t="inlineStr">
        <is>
          <t>Наружные стены D600 250мм</t>
        </is>
      </c>
      <c r="G6" s="25" t="inlineStr">
        <is>
          <t>Корпус 3</t>
        </is>
      </c>
      <c r="H6" s="26" t="n"/>
      <c r="I6" s="26" t="n"/>
      <c r="J6" s="26" t="n"/>
      <c r="K6" s="27" t="inlineStr">
        <is>
          <t>Примыкание к плите перекрытия</t>
        </is>
      </c>
      <c r="L6" s="20" t="inlineStr">
        <is>
          <t>м.п.</t>
        </is>
      </c>
      <c r="M6" s="21" t="n">
        <v>0</v>
      </c>
      <c r="N6" s="21">
        <f>W6</f>
        <v/>
      </c>
      <c r="O6" s="22" t="n">
        <v>0</v>
      </c>
      <c r="P6" s="22" t="n">
        <v>0</v>
      </c>
      <c r="Q6" s="21">
        <f>N6*V6+P6</f>
        <v/>
      </c>
      <c r="R6" s="22" t="inlineStr">
        <is>
          <t>м.п.</t>
        </is>
      </c>
      <c r="S6" s="24" t="n"/>
      <c r="T6" s="24" t="n"/>
      <c r="U6" s="23" t="inlineStr">
        <is>
          <t xml:space="preserve">Верхнее крепление газобетонных блоков СН-1.1 к перекрытию </t>
        </is>
      </c>
      <c r="V6" s="21" t="n">
        <v>1</v>
      </c>
      <c r="W6" t="n">
        <v>0</v>
      </c>
    </row>
    <row r="7">
      <c r="A7" s="15" t="inlineStr">
        <is>
          <t>мат.</t>
        </is>
      </c>
      <c r="B7" s="15" t="inlineStr">
        <is>
          <t>13АВ-РД-АР1.1-К3</t>
        </is>
      </c>
      <c r="C7" s="16" t="n">
        <v>45974</v>
      </c>
      <c r="D7" s="17" t="inlineStr">
        <is>
          <t>Кладка</t>
        </is>
      </c>
      <c r="E7" s="17" t="inlineStr">
        <is>
          <t>БАЗА</t>
        </is>
      </c>
      <c r="F7" s="15" t="inlineStr">
        <is>
          <t>Металлический каркас с обшивкой плитой по типу Аквапанель</t>
        </is>
      </c>
      <c r="G7" s="15" t="inlineStr">
        <is>
          <t>Корпус 3</t>
        </is>
      </c>
      <c r="H7" s="17" t="n"/>
      <c r="I7" s="17" t="inlineStr">
        <is>
          <t>м3</t>
        </is>
      </c>
      <c r="J7" s="18" t="n"/>
      <c r="K7" s="19" t="inlineStr">
        <is>
          <t>Металлический каркас (труба квадратного сечения) с обшивкой цементной плитой по типу Аквапанель или аналог</t>
        </is>
      </c>
      <c r="L7" s="17" t="inlineStr">
        <is>
          <t>м2</t>
        </is>
      </c>
      <c r="M7" s="17" t="n">
        <v>154.08</v>
      </c>
      <c r="N7" s="17">
        <f>W7</f>
        <v/>
      </c>
      <c r="O7" s="17" t="n"/>
      <c r="P7" s="17" t="n"/>
      <c r="Q7" s="28">
        <f>N7*V7+P7</f>
        <v/>
      </c>
      <c r="R7" s="17" t="inlineStr">
        <is>
          <t>м2</t>
        </is>
      </c>
      <c r="S7" s="17" t="n"/>
      <c r="T7" s="17" t="n"/>
      <c r="U7" s="17" t="inlineStr">
        <is>
          <t>СН-2.1</t>
        </is>
      </c>
      <c r="V7" s="17" t="n">
        <v>1</v>
      </c>
      <c r="W7" t="n">
        <v>0</v>
      </c>
    </row>
    <row r="8">
      <c r="A8" s="8" t="inlineStr">
        <is>
          <t>мат.</t>
        </is>
      </c>
      <c r="B8" s="8" t="inlineStr">
        <is>
          <t>13АВ-РД-АР1.1-К3</t>
        </is>
      </c>
      <c r="C8" s="9" t="n">
        <v>45974</v>
      </c>
      <c r="D8" s="10" t="inlineStr">
        <is>
          <t>Кладка</t>
        </is>
      </c>
      <c r="E8" s="10" t="inlineStr">
        <is>
          <t>БАЗА</t>
        </is>
      </c>
      <c r="F8" s="8" t="inlineStr">
        <is>
          <t>Внутренние стены D600 250 мм</t>
        </is>
      </c>
      <c r="G8" s="11" t="inlineStr">
        <is>
          <t>Корпус 3</t>
        </is>
      </c>
      <c r="H8" s="10" t="n"/>
      <c r="I8" s="10" t="inlineStr">
        <is>
          <t>м3</t>
        </is>
      </c>
      <c r="J8" s="12" t="n"/>
      <c r="K8" s="13" t="inlineStr">
        <is>
          <t>Газобетонные блоки D600 толщиной 250 мм, ГОСТ 31359-2007</t>
        </is>
      </c>
      <c r="L8" s="10" t="inlineStr">
        <is>
          <t>м3</t>
        </is>
      </c>
      <c r="M8" s="10" t="n">
        <v>14.54</v>
      </c>
      <c r="N8" s="10">
        <f>W8</f>
        <v/>
      </c>
      <c r="O8" s="10" t="n"/>
      <c r="P8" s="10" t="n"/>
      <c r="Q8" s="14">
        <f>N8*V8+P8</f>
        <v/>
      </c>
      <c r="R8" s="10" t="inlineStr">
        <is>
          <t>м3</t>
        </is>
      </c>
      <c r="S8" s="10" t="n"/>
      <c r="T8" s="10" t="n"/>
      <c r="U8" s="10" t="inlineStr">
        <is>
          <t>СВ-1.1</t>
        </is>
      </c>
      <c r="V8" s="10" t="n">
        <v>1</v>
      </c>
      <c r="W8" t="n">
        <v>18.6</v>
      </c>
    </row>
    <row r="9">
      <c r="A9" s="15" t="n"/>
      <c r="B9" s="15" t="inlineStr">
        <is>
          <t>13АВ-РД-АР1.1-К3</t>
        </is>
      </c>
      <c r="C9" s="16" t="n">
        <v>45974</v>
      </c>
      <c r="D9" s="17" t="inlineStr">
        <is>
          <t>Кладка</t>
        </is>
      </c>
      <c r="E9" s="17" t="n"/>
      <c r="F9" s="29" t="inlineStr">
        <is>
          <t>Внутренние стены D600 250 мм</t>
        </is>
      </c>
      <c r="G9" s="29" t="inlineStr">
        <is>
          <t>Корпус 3</t>
        </is>
      </c>
      <c r="H9" s="30" t="n"/>
      <c r="I9" s="30" t="n"/>
      <c r="J9" s="31" t="n"/>
      <c r="K9" s="32" t="inlineStr">
        <is>
          <t>Примыкание к плите перекрытия</t>
        </is>
      </c>
      <c r="L9" s="20" t="inlineStr">
        <is>
          <t>м.п.</t>
        </is>
      </c>
      <c r="M9" s="21" t="n">
        <v>0</v>
      </c>
      <c r="N9" s="21">
        <f>W9</f>
        <v/>
      </c>
      <c r="O9" s="22" t="n">
        <v>0</v>
      </c>
      <c r="P9" s="22" t="n">
        <v>0</v>
      </c>
      <c r="Q9" s="21">
        <f>N9*V9+P9</f>
        <v/>
      </c>
      <c r="R9" s="22" t="inlineStr">
        <is>
          <t>м.п.</t>
        </is>
      </c>
      <c r="S9" s="22" t="n"/>
      <c r="T9" s="22" t="n"/>
      <c r="U9" s="23" t="inlineStr">
        <is>
          <t xml:space="preserve">Верхнее крепление газобетонных блоков СВ-1.1 к перекрытию </t>
        </is>
      </c>
      <c r="V9" s="28" t="n">
        <v>1</v>
      </c>
      <c r="W9" t="n">
        <v>0</v>
      </c>
    </row>
    <row r="10">
      <c r="A10" s="15" t="n"/>
      <c r="B10" s="15" t="inlineStr">
        <is>
          <t>13АВ-РД-АР1.1-К3</t>
        </is>
      </c>
      <c r="C10" s="16" t="n">
        <v>45974</v>
      </c>
      <c r="D10" s="17" t="inlineStr">
        <is>
          <t>Кладка</t>
        </is>
      </c>
      <c r="E10" s="17" t="n"/>
      <c r="F10" s="15" t="inlineStr">
        <is>
          <t>Внутренние стены D600 250 мм</t>
        </is>
      </c>
      <c r="G10" s="15" t="inlineStr">
        <is>
          <t>Корпус 3</t>
        </is>
      </c>
      <c r="H10" s="17" t="n"/>
      <c r="I10" s="17" t="n"/>
      <c r="J10" s="18" t="n"/>
      <c r="K10" s="19" t="inlineStr">
        <is>
          <t>Вертикалное примыкание к ЖБ стенам</t>
        </is>
      </c>
      <c r="L10" s="20" t="inlineStr">
        <is>
          <t>м.п.</t>
        </is>
      </c>
      <c r="M10" s="21" t="n">
        <v>0</v>
      </c>
      <c r="N10" s="21">
        <f>W10</f>
        <v/>
      </c>
      <c r="O10" s="22" t="n">
        <v>0</v>
      </c>
      <c r="P10" s="22" t="n">
        <v>0</v>
      </c>
      <c r="Q10" s="21">
        <f>N10*V10+P10</f>
        <v/>
      </c>
      <c r="R10" s="22" t="inlineStr">
        <is>
          <t>м.п.</t>
        </is>
      </c>
      <c r="S10" s="17" t="n"/>
      <c r="T10" s="17" t="n"/>
      <c r="U10" s="19" t="inlineStr">
        <is>
          <t>Вертикалное примыкание к ЖБ стенам</t>
        </is>
      </c>
      <c r="V10" s="17" t="n">
        <v>1</v>
      </c>
      <c r="W10" t="n">
        <v>0</v>
      </c>
    </row>
    <row r="11">
      <c r="A11" s="23" t="inlineStr">
        <is>
          <t>мат.</t>
        </is>
      </c>
      <c r="B11" s="23" t="inlineStr">
        <is>
          <t>13АВ-РД-АР1.1-К3</t>
        </is>
      </c>
      <c r="C11" s="16" t="n">
        <v>45974</v>
      </c>
      <c r="D11" s="22" t="inlineStr">
        <is>
          <t>Кладка</t>
        </is>
      </c>
      <c r="E11" s="24" t="n"/>
      <c r="F11" s="25" t="inlineStr">
        <is>
          <t>Перемычки внутренних стен D600 250 мм</t>
        </is>
      </c>
      <c r="G11" s="29" t="inlineStr">
        <is>
          <t>Корпус 3</t>
        </is>
      </c>
      <c r="H11" s="26" t="n"/>
      <c r="I11" s="26" t="n"/>
      <c r="J11" s="26" t="n"/>
      <c r="K11" s="27" t="inlineStr">
        <is>
          <t>Уголок 40х5</t>
        </is>
      </c>
      <c r="L11" s="20" t="inlineStr">
        <is>
          <t>т</t>
        </is>
      </c>
      <c r="M11" s="33">
        <f>((4.47*2)*9)/1000</f>
        <v/>
      </c>
      <c r="N11" s="21">
        <f>W11</f>
        <v/>
      </c>
      <c r="O11" s="22" t="n">
        <v>0</v>
      </c>
      <c r="P11" s="22" t="n">
        <v>0</v>
      </c>
      <c r="Q11" s="33">
        <f>N11*V11+P11</f>
        <v/>
      </c>
      <c r="R11" s="22" t="inlineStr">
        <is>
          <t>т</t>
        </is>
      </c>
      <c r="S11" s="24" t="n"/>
      <c r="T11" s="24" t="n"/>
      <c r="U11" s="23" t="inlineStr">
        <is>
          <t>ПР-2 - 9 шт</t>
        </is>
      </c>
      <c r="V11" s="21" t="n">
        <v>1</v>
      </c>
      <c r="W11" t="n">
        <v>0</v>
      </c>
    </row>
    <row r="12">
      <c r="A12" s="23" t="inlineStr">
        <is>
          <t>мат.</t>
        </is>
      </c>
      <c r="B12" s="23" t="inlineStr">
        <is>
          <t>13АВ-РД-АР1.1-К3</t>
        </is>
      </c>
      <c r="C12" s="16" t="n">
        <v>45974</v>
      </c>
      <c r="D12" s="22" t="inlineStr">
        <is>
          <t>Кладка</t>
        </is>
      </c>
      <c r="E12" s="24" t="n"/>
      <c r="F12" s="25" t="inlineStr">
        <is>
          <t>Перемычки внутренних стен D600 250 мм</t>
        </is>
      </c>
      <c r="G12" s="25" t="inlineStr">
        <is>
          <t>Корпус 3</t>
        </is>
      </c>
      <c r="H12" s="26" t="n"/>
      <c r="I12" s="26" t="n"/>
      <c r="J12" s="26" t="n"/>
      <c r="K12" s="27" t="inlineStr">
        <is>
          <t>Полоса 50х5</t>
        </is>
      </c>
      <c r="L12" s="20" t="inlineStr">
        <is>
          <t>т</t>
        </is>
      </c>
      <c r="M12" s="33">
        <f>((0.49075*3)*9)/1000</f>
        <v/>
      </c>
      <c r="N12" s="21">
        <f>W12</f>
        <v/>
      </c>
      <c r="O12" s="22" t="n">
        <v>0</v>
      </c>
      <c r="P12" s="22" t="n">
        <v>0</v>
      </c>
      <c r="Q12" s="34">
        <f>N12*V12+P12</f>
        <v/>
      </c>
      <c r="R12" s="22" t="inlineStr">
        <is>
          <t>т</t>
        </is>
      </c>
      <c r="S12" s="24" t="n"/>
      <c r="T12" s="24" t="n"/>
      <c r="U12" s="24" t="n"/>
      <c r="V12" s="21" t="n">
        <v>1</v>
      </c>
      <c r="W12" t="n">
        <v>0</v>
      </c>
    </row>
    <row r="13">
      <c r="A13" s="8" t="inlineStr">
        <is>
          <t>мат.</t>
        </is>
      </c>
      <c r="B13" s="8" t="inlineStr">
        <is>
          <t>13АВ-РД-АР1.1-К3</t>
        </is>
      </c>
      <c r="C13" s="9" t="n">
        <v>45974</v>
      </c>
      <c r="D13" s="10" t="inlineStr">
        <is>
          <t>Кладка</t>
        </is>
      </c>
      <c r="E13" s="10" t="inlineStr">
        <is>
          <t>БАЗА</t>
        </is>
      </c>
      <c r="F13" s="8" t="inlineStr">
        <is>
          <t>Внутренние стены D600 200 мм</t>
        </is>
      </c>
      <c r="G13" s="11" t="inlineStr">
        <is>
          <t>Корпус 3</t>
        </is>
      </c>
      <c r="H13" s="10" t="n"/>
      <c r="I13" s="10" t="inlineStr">
        <is>
          <t>м3</t>
        </is>
      </c>
      <c r="J13" s="12" t="n"/>
      <c r="K13" s="13" t="inlineStr">
        <is>
          <t>Газобетонные блоки D600 толщиной 200 мм, ГОСТ 31359-2007</t>
        </is>
      </c>
      <c r="L13" s="10" t="inlineStr">
        <is>
          <t>м3</t>
        </is>
      </c>
      <c r="M13" s="10" t="n">
        <v>824.34</v>
      </c>
      <c r="N13" s="10">
        <f>W13</f>
        <v/>
      </c>
      <c r="O13" s="10" t="n"/>
      <c r="P13" s="10" t="n"/>
      <c r="Q13" s="14">
        <f>N13*V13+P13</f>
        <v/>
      </c>
      <c r="R13" s="10" t="inlineStr">
        <is>
          <t>м3</t>
        </is>
      </c>
      <c r="S13" s="10" t="n"/>
      <c r="T13" s="10" t="n"/>
      <c r="U13" s="10" t="inlineStr">
        <is>
          <t>СВ-1.2</t>
        </is>
      </c>
      <c r="V13" s="10" t="n">
        <v>1</v>
      </c>
      <c r="W13" t="n">
        <v>26.918</v>
      </c>
    </row>
    <row r="14">
      <c r="A14" s="15" t="n"/>
      <c r="B14" s="15" t="inlineStr">
        <is>
          <t>13АВ-РД-АР1.1-К3</t>
        </is>
      </c>
      <c r="C14" s="16" t="n">
        <v>45974</v>
      </c>
      <c r="D14" s="17" t="inlineStr">
        <is>
          <t>Кладка</t>
        </is>
      </c>
      <c r="E14" s="17" t="n"/>
      <c r="F14" s="29" t="inlineStr">
        <is>
          <t>Внутренние стены D600 200 мм</t>
        </is>
      </c>
      <c r="G14" s="29" t="inlineStr">
        <is>
          <t>Корпус 3</t>
        </is>
      </c>
      <c r="H14" s="30" t="n"/>
      <c r="I14" s="30" t="n"/>
      <c r="J14" s="31" t="n"/>
      <c r="K14" s="32" t="inlineStr">
        <is>
          <t>Примыкание к плите перекрытия</t>
        </is>
      </c>
      <c r="L14" s="20" t="inlineStr">
        <is>
          <t>м.п.</t>
        </is>
      </c>
      <c r="M14" s="21" t="n">
        <v>0</v>
      </c>
      <c r="N14" s="21">
        <f>W14</f>
        <v/>
      </c>
      <c r="O14" s="22" t="n">
        <v>0</v>
      </c>
      <c r="P14" s="22" t="n">
        <v>0</v>
      </c>
      <c r="Q14" s="21">
        <f>N14*V14+P14</f>
        <v/>
      </c>
      <c r="R14" s="22" t="inlineStr">
        <is>
          <t>м.п.</t>
        </is>
      </c>
      <c r="S14" s="22" t="n"/>
      <c r="T14" s="22" t="n"/>
      <c r="U14" s="23" t="inlineStr">
        <is>
          <t xml:space="preserve">Верхнее крепление газобетонных блоков СВ-1.2 к перекрытию </t>
        </is>
      </c>
      <c r="V14" s="28" t="n">
        <v>1</v>
      </c>
      <c r="W14" t="n">
        <v>0</v>
      </c>
    </row>
    <row r="15">
      <c r="A15" s="15" t="n"/>
      <c r="B15" s="15" t="inlineStr">
        <is>
          <t>13АВ-РД-АР1.1-К3</t>
        </is>
      </c>
      <c r="C15" s="16" t="n">
        <v>45974</v>
      </c>
      <c r="D15" s="17" t="inlineStr">
        <is>
          <t>Кладка</t>
        </is>
      </c>
      <c r="E15" s="17" t="n"/>
      <c r="F15" s="15" t="inlineStr">
        <is>
          <t>Внутренние стены D600 200 мм</t>
        </is>
      </c>
      <c r="G15" s="15" t="inlineStr">
        <is>
          <t>Корпус 3</t>
        </is>
      </c>
      <c r="H15" s="17" t="n"/>
      <c r="I15" s="17" t="n"/>
      <c r="J15" s="18" t="n"/>
      <c r="K15" s="19" t="inlineStr">
        <is>
          <t>Вертикалное примыкание к ЖБ стенам</t>
        </is>
      </c>
      <c r="L15" s="20" t="inlineStr">
        <is>
          <t>м.п.</t>
        </is>
      </c>
      <c r="M15" s="21" t="n">
        <v>0</v>
      </c>
      <c r="N15" s="21">
        <f>W15</f>
        <v/>
      </c>
      <c r="O15" s="22" t="n">
        <v>0</v>
      </c>
      <c r="P15" s="22" t="n">
        <v>0</v>
      </c>
      <c r="Q15" s="21">
        <f>N15*V15+P15</f>
        <v/>
      </c>
      <c r="R15" s="22" t="inlineStr">
        <is>
          <t>м.п.</t>
        </is>
      </c>
      <c r="S15" s="17" t="n"/>
      <c r="T15" s="17" t="n"/>
      <c r="U15" s="19" t="inlineStr">
        <is>
          <t>Вертикалное примыкание к ЖБ стенам</t>
        </is>
      </c>
      <c r="V15" s="17" t="n">
        <v>1</v>
      </c>
      <c r="W15" t="n">
        <v>0</v>
      </c>
    </row>
    <row r="16">
      <c r="A16" s="23" t="inlineStr">
        <is>
          <t>мат.</t>
        </is>
      </c>
      <c r="B16" s="23" t="inlineStr">
        <is>
          <t>13АВ-РД-АР1.1-К3</t>
        </is>
      </c>
      <c r="C16" s="16" t="n">
        <v>45974</v>
      </c>
      <c r="D16" s="22" t="inlineStr">
        <is>
          <t>Кладка</t>
        </is>
      </c>
      <c r="E16" s="24" t="n"/>
      <c r="F16" s="25" t="inlineStr">
        <is>
          <t>Перемычки внутренних стен D600 200 мм</t>
        </is>
      </c>
      <c r="G16" s="29" t="inlineStr">
        <is>
          <t>Корпус 3</t>
        </is>
      </c>
      <c r="H16" s="26" t="n"/>
      <c r="I16" s="26" t="n"/>
      <c r="J16" s="26" t="n"/>
      <c r="K16" s="27" t="inlineStr">
        <is>
          <t>Уголок 40х5</t>
        </is>
      </c>
      <c r="L16" s="20" t="inlineStr">
        <is>
          <t>т</t>
        </is>
      </c>
      <c r="M16" s="21">
        <f>((4.47*2)*206)/1000</f>
        <v/>
      </c>
      <c r="N16" s="21">
        <f>((2*4.47)*206)/1000</f>
        <v/>
      </c>
      <c r="O16" s="22" t="n">
        <v>0</v>
      </c>
      <c r="P16" s="22" t="n">
        <v>0</v>
      </c>
      <c r="Q16" s="33">
        <f>N16*V16+P16</f>
        <v/>
      </c>
      <c r="R16" s="22" t="inlineStr">
        <is>
          <t>т</t>
        </is>
      </c>
      <c r="S16" s="24" t="n"/>
      <c r="T16" s="24" t="n"/>
      <c r="U16" s="23" t="inlineStr">
        <is>
          <t>ПР-1 - 206 шт</t>
        </is>
      </c>
      <c r="V16" s="21" t="n">
        <v>1</v>
      </c>
      <c r="W16" t="n">
        <v>0</v>
      </c>
    </row>
    <row r="17">
      <c r="A17" s="23" t="inlineStr">
        <is>
          <t>мат.</t>
        </is>
      </c>
      <c r="B17" s="23" t="inlineStr">
        <is>
          <t>13АВ-РД-АР1.1-К3</t>
        </is>
      </c>
      <c r="C17" s="16" t="n">
        <v>45974</v>
      </c>
      <c r="D17" s="22" t="inlineStr">
        <is>
          <t>Кладка</t>
        </is>
      </c>
      <c r="E17" s="24" t="n"/>
      <c r="F17" s="25" t="inlineStr">
        <is>
          <t>Перемычки внутренних стен D600 200 мм</t>
        </is>
      </c>
      <c r="G17" s="29" t="inlineStr">
        <is>
          <t>Корпус 3</t>
        </is>
      </c>
      <c r="H17" s="26" t="n"/>
      <c r="I17" s="26" t="n"/>
      <c r="J17" s="26" t="n"/>
      <c r="K17" s="27" t="inlineStr">
        <is>
          <t>Полоса 50х5</t>
        </is>
      </c>
      <c r="L17" s="20" t="inlineStr">
        <is>
          <t>т</t>
        </is>
      </c>
      <c r="M17" s="21">
        <f>((0.3926*3)*206)/1000</f>
        <v/>
      </c>
      <c r="N17" s="21">
        <f>((0.3926*3)*206)/1000</f>
        <v/>
      </c>
      <c r="O17" s="22" t="n">
        <v>0</v>
      </c>
      <c r="P17" s="22" t="n">
        <v>0</v>
      </c>
      <c r="Q17" s="34">
        <f>N17*V17+P17</f>
        <v/>
      </c>
      <c r="R17" s="22" t="inlineStr">
        <is>
          <t>т</t>
        </is>
      </c>
      <c r="S17" s="24" t="n"/>
      <c r="T17" s="24" t="n"/>
      <c r="U17" s="24" t="n"/>
      <c r="V17" s="21" t="n">
        <v>1</v>
      </c>
      <c r="W17" t="n">
        <v>0</v>
      </c>
    </row>
    <row r="18">
      <c r="A18" s="8" t="inlineStr">
        <is>
          <t>мат.</t>
        </is>
      </c>
      <c r="B18" s="8" t="inlineStr">
        <is>
          <t>13АВ-РД-АР1.1-К3</t>
        </is>
      </c>
      <c r="C18" s="9" t="n">
        <v>45974</v>
      </c>
      <c r="D18" s="10" t="inlineStr">
        <is>
          <t>Кладка</t>
        </is>
      </c>
      <c r="E18" s="10" t="inlineStr">
        <is>
          <t>БАЗА</t>
        </is>
      </c>
      <c r="F18" s="8" t="inlineStr">
        <is>
          <t>Внутренние стены D600 150 мм</t>
        </is>
      </c>
      <c r="G18" s="11" t="inlineStr">
        <is>
          <t>Корпус 3</t>
        </is>
      </c>
      <c r="H18" s="10" t="n"/>
      <c r="I18" s="10" t="inlineStr">
        <is>
          <t>м3</t>
        </is>
      </c>
      <c r="J18" s="12" t="n"/>
      <c r="K18" s="13" t="inlineStr">
        <is>
          <t>Газобетонные блоки D600 толщиной 150 мм, ГОСТ 31359-2007</t>
        </is>
      </c>
      <c r="L18" s="10" t="inlineStr">
        <is>
          <t>м3</t>
        </is>
      </c>
      <c r="M18" s="10" t="n">
        <v>73.36</v>
      </c>
      <c r="N18" s="10">
        <f>W18</f>
        <v/>
      </c>
      <c r="O18" s="10" t="n"/>
      <c r="P18" s="10" t="n"/>
      <c r="Q18" s="14">
        <f>N18*V18+P18</f>
        <v/>
      </c>
      <c r="R18" s="10" t="inlineStr">
        <is>
          <t>м3</t>
        </is>
      </c>
      <c r="S18" s="10" t="n"/>
      <c r="T18" s="10" t="n"/>
      <c r="U18" s="10" t="inlineStr">
        <is>
          <t>СВ-1.3</t>
        </is>
      </c>
      <c r="V18" s="10" t="n">
        <v>1</v>
      </c>
      <c r="W18" t="n">
        <v>4.865</v>
      </c>
    </row>
    <row r="19">
      <c r="A19" s="23" t="n"/>
      <c r="B19" s="23" t="inlineStr">
        <is>
          <t>13АВ-РД-АР1.1-К3</t>
        </is>
      </c>
      <c r="C19" s="16" t="n">
        <v>45974</v>
      </c>
      <c r="D19" s="22" t="inlineStr">
        <is>
          <t>Кладка</t>
        </is>
      </c>
      <c r="E19" s="24" t="n"/>
      <c r="F19" s="25" t="inlineStr">
        <is>
          <t>Внутренние стены D600 150 мм</t>
        </is>
      </c>
      <c r="G19" s="15" t="inlineStr">
        <is>
          <t>Корпус 3</t>
        </is>
      </c>
      <c r="H19" s="26" t="n"/>
      <c r="I19" s="26" t="n"/>
      <c r="J19" s="26" t="n"/>
      <c r="K19" s="27" t="inlineStr">
        <is>
          <t>Примыкание к плите перекрытия</t>
        </is>
      </c>
      <c r="L19" s="20" t="inlineStr">
        <is>
          <t>м.п.</t>
        </is>
      </c>
      <c r="M19" s="21" t="n">
        <v>0</v>
      </c>
      <c r="N19" s="21">
        <f>W19</f>
        <v/>
      </c>
      <c r="O19" s="22" t="n">
        <v>0</v>
      </c>
      <c r="P19" s="22" t="n">
        <v>0</v>
      </c>
      <c r="Q19" s="21">
        <f>N19*V19+P19</f>
        <v/>
      </c>
      <c r="R19" s="22" t="inlineStr">
        <is>
          <t>м.п.</t>
        </is>
      </c>
      <c r="S19" s="24" t="n"/>
      <c r="T19" s="24" t="n"/>
      <c r="U19" s="23" t="inlineStr">
        <is>
          <t>Верхнее крепление газобетонных блоков СВ-1.3 к перекрытию</t>
        </is>
      </c>
      <c r="V19" s="21" t="n">
        <v>1</v>
      </c>
      <c r="W19" t="n">
        <v>0</v>
      </c>
    </row>
    <row r="20">
      <c r="A20" s="15" t="n"/>
      <c r="B20" s="15" t="inlineStr">
        <is>
          <t>13АВ-РД-АР1.1-К3</t>
        </is>
      </c>
      <c r="C20" s="16" t="n">
        <v>45974</v>
      </c>
      <c r="D20" s="17" t="inlineStr">
        <is>
          <t>Кладка</t>
        </is>
      </c>
      <c r="E20" s="17" t="n"/>
      <c r="F20" s="15" t="inlineStr">
        <is>
          <t>Внутренние стены D600 150 мм</t>
        </is>
      </c>
      <c r="G20" s="15" t="inlineStr">
        <is>
          <t>Корпус 3</t>
        </is>
      </c>
      <c r="H20" s="17" t="n"/>
      <c r="I20" s="17" t="n"/>
      <c r="J20" s="18" t="n"/>
      <c r="K20" s="19" t="inlineStr">
        <is>
          <t>Вертикалное примыкание к ЖБ стенам</t>
        </is>
      </c>
      <c r="L20" s="20" t="inlineStr">
        <is>
          <t>м.п.</t>
        </is>
      </c>
      <c r="M20" s="21" t="n">
        <v>0</v>
      </c>
      <c r="N20" s="21">
        <f>W20</f>
        <v/>
      </c>
      <c r="O20" s="22" t="n">
        <v>0</v>
      </c>
      <c r="P20" s="22" t="n">
        <v>0</v>
      </c>
      <c r="Q20" s="21">
        <f>N20*V20+P20</f>
        <v/>
      </c>
      <c r="R20" s="22" t="inlineStr">
        <is>
          <t>м.п.</t>
        </is>
      </c>
      <c r="S20" s="17" t="n"/>
      <c r="T20" s="17" t="n"/>
      <c r="U20" s="19" t="inlineStr">
        <is>
          <t>Вертикалное примыкание к ЖБ стенам</t>
        </is>
      </c>
      <c r="V20" s="17" t="n">
        <v>1</v>
      </c>
      <c r="W20" t="n">
        <v>0</v>
      </c>
    </row>
    <row r="21">
      <c r="A21" s="23" t="inlineStr">
        <is>
          <t>мат.</t>
        </is>
      </c>
      <c r="B21" s="23" t="inlineStr">
        <is>
          <t>13АВ-РД-АР1.1-К3</t>
        </is>
      </c>
      <c r="C21" s="16" t="n">
        <v>45974</v>
      </c>
      <c r="D21" s="22" t="inlineStr">
        <is>
          <t>Кладка</t>
        </is>
      </c>
      <c r="E21" s="24" t="n"/>
      <c r="F21" s="23" t="inlineStr">
        <is>
          <t>Перемычки внутренних стен D600 150 мм</t>
        </is>
      </c>
      <c r="G21" s="29" t="inlineStr">
        <is>
          <t>Корпус 3</t>
        </is>
      </c>
      <c r="H21" s="24" t="n"/>
      <c r="I21" s="24" t="n"/>
      <c r="J21" s="24" t="n"/>
      <c r="K21" s="35" t="inlineStr">
        <is>
          <t>Уголок 40х4</t>
        </is>
      </c>
      <c r="L21" s="22" t="inlineStr">
        <is>
          <t>т</t>
        </is>
      </c>
      <c r="M21" s="21" t="n">
        <v>0.33</v>
      </c>
      <c r="N21" s="21">
        <f>((2*2.831)*58)/1000</f>
        <v/>
      </c>
      <c r="O21" s="22" t="n">
        <v>0</v>
      </c>
      <c r="P21" s="22" t="n">
        <v>0</v>
      </c>
      <c r="Q21" s="21" t="n">
        <v>0.33</v>
      </c>
      <c r="R21" s="22" t="inlineStr">
        <is>
          <t>т</t>
        </is>
      </c>
      <c r="S21" s="24" t="n"/>
      <c r="T21" s="24" t="n"/>
      <c r="U21" s="23" t="inlineStr">
        <is>
          <t>ПР-3 -  58 шт</t>
        </is>
      </c>
      <c r="V21" s="21" t="n">
        <v>1</v>
      </c>
      <c r="W21" t="n">
        <v>0</v>
      </c>
    </row>
    <row r="22">
      <c r="A22" s="8" t="inlineStr">
        <is>
          <t>мат.</t>
        </is>
      </c>
      <c r="B22" s="8" t="inlineStr">
        <is>
          <t>13АВ-РД-АР1.1-К3</t>
        </is>
      </c>
      <c r="C22" s="9" t="n">
        <v>45974</v>
      </c>
      <c r="D22" s="10" t="inlineStr">
        <is>
          <t>Кладка</t>
        </is>
      </c>
      <c r="E22" s="10" t="inlineStr">
        <is>
          <t>БАЗА</t>
        </is>
      </c>
      <c r="F22" s="8" t="inlineStr">
        <is>
          <t>Шахты МОП D600 100 мм</t>
        </is>
      </c>
      <c r="G22" s="11" t="inlineStr">
        <is>
          <t>Корпус 3</t>
        </is>
      </c>
      <c r="H22" s="10" t="n"/>
      <c r="I22" s="10" t="inlineStr">
        <is>
          <t>м2</t>
        </is>
      </c>
      <c r="J22" s="12" t="n"/>
      <c r="K22" s="13" t="inlineStr">
        <is>
          <t>Газобетонные блоки D600 толщиной 100 мм, ГОСТ 31359-2007</t>
        </is>
      </c>
      <c r="L22" s="10" t="inlineStr">
        <is>
          <t>м3</t>
        </is>
      </c>
      <c r="M22" s="10" t="n">
        <v>12.43</v>
      </c>
      <c r="N22" s="10">
        <f>W22</f>
        <v/>
      </c>
      <c r="O22" s="10" t="n"/>
      <c r="P22" s="10" t="n"/>
      <c r="Q22" s="14">
        <f>N22*V22+P22</f>
        <v/>
      </c>
      <c r="R22" s="10" t="inlineStr">
        <is>
          <t>м3</t>
        </is>
      </c>
      <c r="S22" s="10" t="n"/>
      <c r="T22" s="10" t="n"/>
      <c r="U22" s="10" t="inlineStr">
        <is>
          <t>СВ-1.4</t>
        </is>
      </c>
      <c r="V22" s="10" t="n">
        <v>1</v>
      </c>
      <c r="W22" t="n">
        <v>0</v>
      </c>
    </row>
    <row r="23">
      <c r="A23" s="15" t="n"/>
      <c r="B23" s="15" t="inlineStr">
        <is>
          <t>13АВ-РД-АР1.1-К3</t>
        </is>
      </c>
      <c r="C23" s="16" t="n">
        <v>45974</v>
      </c>
      <c r="D23" s="17" t="inlineStr">
        <is>
          <t>Кладка</t>
        </is>
      </c>
      <c r="E23" s="17" t="n"/>
      <c r="F23" s="29" t="inlineStr">
        <is>
          <t>Внутренние стены D600 100 мм</t>
        </is>
      </c>
      <c r="G23" s="29" t="inlineStr">
        <is>
          <t>Корпус 3</t>
        </is>
      </c>
      <c r="H23" s="30" t="n"/>
      <c r="I23" s="30" t="n"/>
      <c r="J23" s="31" t="n"/>
      <c r="K23" s="32" t="inlineStr">
        <is>
          <t>Примыкание к плите перекрытия</t>
        </is>
      </c>
      <c r="L23" s="20" t="inlineStr">
        <is>
          <t>м.п.</t>
        </is>
      </c>
      <c r="M23" s="21" t="n">
        <v>0</v>
      </c>
      <c r="N23" s="21">
        <f>W23</f>
        <v/>
      </c>
      <c r="O23" s="22" t="n">
        <v>0</v>
      </c>
      <c r="P23" s="22" t="n">
        <v>0</v>
      </c>
      <c r="Q23" s="21">
        <f>N23*V23+P23</f>
        <v/>
      </c>
      <c r="R23" s="22" t="inlineStr">
        <is>
          <t>м.п.</t>
        </is>
      </c>
      <c r="S23" s="22" t="n"/>
      <c r="T23" s="22" t="n"/>
      <c r="U23" s="23" t="inlineStr">
        <is>
          <t xml:space="preserve">Верхнее крепление газобетонных блоков СВ-1.4 к перекрытию </t>
        </is>
      </c>
      <c r="V23" s="28" t="n">
        <v>1</v>
      </c>
      <c r="W23" t="n">
        <v>0</v>
      </c>
    </row>
    <row r="24">
      <c r="A24" s="15" t="n"/>
      <c r="B24" s="15" t="inlineStr">
        <is>
          <t>13АВ-РД-АР1.1-К3</t>
        </is>
      </c>
      <c r="C24" s="16" t="n">
        <v>45974</v>
      </c>
      <c r="D24" s="17" t="inlineStr">
        <is>
          <t>Кладка</t>
        </is>
      </c>
      <c r="E24" s="17" t="n"/>
      <c r="F24" s="15" t="inlineStr">
        <is>
          <t>Внутренние стены D600 100 мм</t>
        </is>
      </c>
      <c r="G24" s="15" t="inlineStr">
        <is>
          <t>Корпус 3</t>
        </is>
      </c>
      <c r="H24" s="17" t="n"/>
      <c r="I24" s="17" t="n"/>
      <c r="J24" s="18" t="n"/>
      <c r="K24" s="19" t="inlineStr">
        <is>
          <t>Вертикалное примыкание к ЖБ стенам</t>
        </is>
      </c>
      <c r="L24" s="20" t="inlineStr">
        <is>
          <t>м.п.</t>
        </is>
      </c>
      <c r="M24" s="21" t="n">
        <v>0</v>
      </c>
      <c r="N24" s="21">
        <f>W24</f>
        <v/>
      </c>
      <c r="O24" s="22" t="n">
        <v>0</v>
      </c>
      <c r="P24" s="22" t="n">
        <v>0</v>
      </c>
      <c r="Q24" s="21">
        <f>N24*V24+P24</f>
        <v/>
      </c>
      <c r="R24" s="22" t="inlineStr">
        <is>
          <t>м.п.</t>
        </is>
      </c>
      <c r="S24" s="17" t="n"/>
      <c r="T24" s="17" t="n"/>
      <c r="U24" s="19" t="inlineStr">
        <is>
          <t>Вертикалное примыкание к ЖБ стенам</t>
        </is>
      </c>
      <c r="V24" s="17" t="n">
        <v>1</v>
      </c>
      <c r="W24" t="n">
        <v>0</v>
      </c>
    </row>
    <row r="25">
      <c r="A25" s="8" t="inlineStr">
        <is>
          <t>мат.</t>
        </is>
      </c>
      <c r="B25" s="8" t="inlineStr">
        <is>
          <t>13АВ-РД-АР1.1-К3</t>
        </is>
      </c>
      <c r="C25" s="9" t="n">
        <v>45974</v>
      </c>
      <c r="D25" s="10" t="inlineStr">
        <is>
          <t>Кладка</t>
        </is>
      </c>
      <c r="E25" s="10" t="inlineStr">
        <is>
          <t>БАЗА</t>
        </is>
      </c>
      <c r="F25" s="8" t="inlineStr">
        <is>
          <t>Трассировка внутриквартирные стены из влагостойких ПСП толщиной 80 мм</t>
        </is>
      </c>
      <c r="G25" s="11" t="inlineStr">
        <is>
          <t>Корпус 3</t>
        </is>
      </c>
      <c r="H25" s="10" t="n"/>
      <c r="I25" s="10" t="inlineStr">
        <is>
          <t>м2</t>
        </is>
      </c>
      <c r="J25" s="12" t="n"/>
      <c r="K25" s="13" t="inlineStr">
        <is>
          <t>Силикатные полнотелые влагостойкие пазогребневые плиты (ПСП) толщиной 80 мм ГОСТ 379-2015</t>
        </is>
      </c>
      <c r="L25" s="10" t="inlineStr">
        <is>
          <t>м2</t>
        </is>
      </c>
      <c r="M25" s="10">
        <f>SUM(V25:AZ25)</f>
        <v/>
      </c>
      <c r="N25" s="10">
        <f>W25</f>
        <v/>
      </c>
      <c r="O25" s="10" t="n"/>
      <c r="P25" s="10" t="n"/>
      <c r="Q25" s="14">
        <f>N25*V25+P25</f>
        <v/>
      </c>
      <c r="R25" s="10" t="inlineStr">
        <is>
          <t>м2</t>
        </is>
      </c>
      <c r="S25" s="10" t="n"/>
      <c r="T25" s="10" t="n"/>
      <c r="U25" s="10" t="inlineStr">
        <is>
          <t>СВ-2.1
Трассировка внутреквартирных стен</t>
        </is>
      </c>
      <c r="V25" s="10" t="n">
        <v>1</v>
      </c>
      <c r="W25" t="n">
        <v>0</v>
      </c>
    </row>
    <row r="26">
      <c r="A26" s="15" t="n"/>
      <c r="B26" s="15" t="inlineStr">
        <is>
          <t>13АВ-РД-АР1.1-К3</t>
        </is>
      </c>
      <c r="C26" s="16" t="n">
        <v>45974</v>
      </c>
      <c r="D26" s="17" t="inlineStr">
        <is>
          <t>Кладка</t>
        </is>
      </c>
      <c r="E26" s="17" t="n"/>
      <c r="F26" s="15" t="inlineStr">
        <is>
          <t>Трассировка внутриквартирные стены из влагостойких ПСП толщиной 80 мм</t>
        </is>
      </c>
      <c r="G26" s="15" t="inlineStr">
        <is>
          <t>Корпус 3</t>
        </is>
      </c>
      <c r="H26" s="17" t="n"/>
      <c r="I26" s="17" t="n"/>
      <c r="J26" s="18" t="n"/>
      <c r="K26" s="19" t="inlineStr">
        <is>
          <t>Вертикалное примыкание к ЖБ стенам</t>
        </is>
      </c>
      <c r="L26" s="17" t="inlineStr">
        <is>
          <t>п.м.</t>
        </is>
      </c>
      <c r="M26" s="17" t="n">
        <v>0</v>
      </c>
      <c r="N26" s="17">
        <f>W26</f>
        <v/>
      </c>
      <c r="O26" s="17" t="n"/>
      <c r="P26" s="17" t="n"/>
      <c r="Q26" s="28">
        <f>N26*V26+P26</f>
        <v/>
      </c>
      <c r="R26" s="17" t="inlineStr">
        <is>
          <t>п.м.</t>
        </is>
      </c>
      <c r="S26" s="17" t="n"/>
      <c r="T26" s="17" t="n"/>
      <c r="U26" s="19" t="inlineStr">
        <is>
          <t>Вертикалное примыкание к ЖБ стенам</t>
        </is>
      </c>
      <c r="V26" s="17" t="n">
        <v>1</v>
      </c>
      <c r="W26" t="n">
        <v>0</v>
      </c>
    </row>
    <row r="27">
      <c r="A27" s="8" t="inlineStr">
        <is>
          <t>мат.</t>
        </is>
      </c>
      <c r="B27" s="8" t="inlineStr">
        <is>
          <t>13АВ-РД-АР1.1-К3</t>
        </is>
      </c>
      <c r="C27" s="9" t="n">
        <v>45974</v>
      </c>
      <c r="D27" s="10" t="inlineStr">
        <is>
          <t>Кладка</t>
        </is>
      </c>
      <c r="E27" s="10" t="inlineStr">
        <is>
          <t>БАЗА</t>
        </is>
      </c>
      <c r="F27" s="8" t="inlineStr">
        <is>
          <t>Трассировка внутриквартирные шахты из влагостойких ПСП толщиной 80 мм</t>
        </is>
      </c>
      <c r="G27" s="11" t="inlineStr">
        <is>
          <t>Корпус 3</t>
        </is>
      </c>
      <c r="H27" s="10" t="n"/>
      <c r="I27" s="10" t="n"/>
      <c r="J27" s="12" t="n"/>
      <c r="K27" s="13" t="inlineStr">
        <is>
          <t>Силикатные полнотелые влагостойкие пазогребневые плиты (ПСП) толщиной 80 мм ГОСТ 379-2015</t>
        </is>
      </c>
      <c r="L27" s="10" t="inlineStr">
        <is>
          <t>м2</t>
        </is>
      </c>
      <c r="M27" s="10">
        <f>SUM(V27:AZ27)</f>
        <v/>
      </c>
      <c r="N27" s="10">
        <f>W27</f>
        <v/>
      </c>
      <c r="O27" s="10" t="n"/>
      <c r="P27" s="10" t="n"/>
      <c r="Q27" s="14">
        <f>N27*V27+P27</f>
        <v/>
      </c>
      <c r="R27" s="10" t="inlineStr">
        <is>
          <t>м2</t>
        </is>
      </c>
      <c r="S27" s="10" t="n"/>
      <c r="T27" s="10" t="n"/>
      <c r="U27" s="10" t="inlineStr">
        <is>
          <t>СВ-2.1 
Трассировка шахт</t>
        </is>
      </c>
      <c r="V27" s="10" t="n">
        <v>1</v>
      </c>
      <c r="W27" t="n">
        <v>0</v>
      </c>
    </row>
    <row r="28">
      <c r="A28" s="15" t="n"/>
      <c r="B28" s="15" t="inlineStr">
        <is>
          <t>13АВ-РД-АР1.1-К3</t>
        </is>
      </c>
      <c r="C28" s="16" t="n">
        <v>45974</v>
      </c>
      <c r="D28" s="17" t="inlineStr">
        <is>
          <t>Кладка</t>
        </is>
      </c>
      <c r="E28" s="17" t="n"/>
      <c r="F28" s="15" t="inlineStr">
        <is>
          <t>Трассировка внутриквартирные шахты из влагостойких ПСП толщиной 80 мм</t>
        </is>
      </c>
      <c r="G28" s="15" t="inlineStr">
        <is>
          <t>Корпус 3</t>
        </is>
      </c>
      <c r="H28" s="17" t="n"/>
      <c r="I28" s="17" t="n"/>
      <c r="J28" s="18" t="n"/>
      <c r="K28" s="19" t="inlineStr">
        <is>
          <t>Вертикалное примыкание трассировки шахт к ЖБ стенам</t>
        </is>
      </c>
      <c r="L28" s="17" t="inlineStr">
        <is>
          <t>п.м.</t>
        </is>
      </c>
      <c r="M28" s="17" t="n">
        <v>0</v>
      </c>
      <c r="N28" s="17">
        <f>W28</f>
        <v/>
      </c>
      <c r="O28" s="17" t="n"/>
      <c r="P28" s="17" t="n"/>
      <c r="Q28" s="28">
        <f>N28*V28+P28</f>
        <v/>
      </c>
      <c r="R28" s="17" t="inlineStr">
        <is>
          <t>п.м.</t>
        </is>
      </c>
      <c r="S28" s="17" t="n"/>
      <c r="T28" s="17" t="n"/>
      <c r="U28" s="19" t="inlineStr">
        <is>
          <t>Вертикалное примыкание трассировки шахт к ЖБ стенам</t>
        </is>
      </c>
      <c r="V28" s="17" t="n">
        <v>1</v>
      </c>
      <c r="W28" t="n">
        <v>0</v>
      </c>
    </row>
    <row r="29">
      <c r="A29" s="8" t="inlineStr">
        <is>
          <t>мат.</t>
        </is>
      </c>
      <c r="B29" s="8" t="inlineStr">
        <is>
          <t>13АВ-РД-АР1.1-К3</t>
        </is>
      </c>
      <c r="C29" s="9" t="n">
        <v>45974</v>
      </c>
      <c r="D29" s="10" t="inlineStr">
        <is>
          <t>Кладка</t>
        </is>
      </c>
      <c r="E29" s="10" t="inlineStr">
        <is>
          <t>БАЗА</t>
        </is>
      </c>
      <c r="F29" s="8" t="inlineStr">
        <is>
          <t>Трассировка из ПСП</t>
        </is>
      </c>
      <c r="G29" s="11" t="inlineStr">
        <is>
          <t>Корпус 3</t>
        </is>
      </c>
      <c r="H29" s="10" t="n"/>
      <c r="I29" s="10" t="inlineStr">
        <is>
          <t>м2</t>
        </is>
      </c>
      <c r="J29" s="12" t="n"/>
      <c r="K29" s="13" t="inlineStr">
        <is>
          <t>Силикатные полнотелые пазогребневые плиты (ПСП) толщиной 80 мм ГОСТ 379-2015</t>
        </is>
      </c>
      <c r="L29" s="10" t="inlineStr">
        <is>
          <t>м2</t>
        </is>
      </c>
      <c r="M29" s="10" t="n">
        <v>880.8</v>
      </c>
      <c r="N29" s="10">
        <f>SUM(X29:AZ29)</f>
        <v/>
      </c>
      <c r="O29" s="10" t="n"/>
      <c r="P29" s="10" t="n"/>
      <c r="Q29" s="14">
        <f>N29*V29+P29</f>
        <v/>
      </c>
      <c r="R29" s="10" t="inlineStr">
        <is>
          <t>м2</t>
        </is>
      </c>
      <c r="S29" s="10" t="n"/>
      <c r="T29" s="10" t="n"/>
      <c r="U29" s="8" t="inlineStr">
        <is>
          <t>СВ-2.2
Трассировка
Возможно будет замена на трассировку краской, вопрос на согласовании с заказчиком</t>
        </is>
      </c>
      <c r="V29" s="10" t="n">
        <v>1</v>
      </c>
      <c r="W29" t="n">
        <v>0</v>
      </c>
    </row>
    <row r="30">
      <c r="A30" s="15" t="n"/>
      <c r="B30" s="15" t="inlineStr">
        <is>
          <t>13АВ-РД-АР1.1-К3</t>
        </is>
      </c>
      <c r="C30" s="16" t="n">
        <v>45974</v>
      </c>
      <c r="D30" s="17" t="inlineStr">
        <is>
          <t>Кладка</t>
        </is>
      </c>
      <c r="E30" s="17" t="n"/>
      <c r="F30" s="15" t="inlineStr">
        <is>
          <t>Трассировка из ПСП</t>
        </is>
      </c>
      <c r="G30" s="15" t="inlineStr">
        <is>
          <t>Корпус 3</t>
        </is>
      </c>
      <c r="H30" s="17" t="n"/>
      <c r="I30" s="17" t="n"/>
      <c r="J30" s="18" t="n"/>
      <c r="K30" s="19" t="inlineStr">
        <is>
          <t>Вертикалное примыкание к ЖБ стенам</t>
        </is>
      </c>
      <c r="L30" s="17" t="inlineStr">
        <is>
          <t>п.м.</t>
        </is>
      </c>
      <c r="M30" s="17" t="n">
        <v>0</v>
      </c>
      <c r="N30" s="17">
        <f>W30</f>
        <v/>
      </c>
      <c r="O30" s="17" t="n"/>
      <c r="P30" s="17" t="n"/>
      <c r="Q30" s="28">
        <f>N30*V30+P30</f>
        <v/>
      </c>
      <c r="R30" s="17" t="inlineStr">
        <is>
          <t>п.м.</t>
        </is>
      </c>
      <c r="S30" s="17" t="n"/>
      <c r="T30" s="17" t="n"/>
      <c r="U30" s="19" t="inlineStr">
        <is>
          <t>Вертикалное примыкание к ЖБ стенам</t>
        </is>
      </c>
      <c r="V30" s="17" t="n">
        <v>1</v>
      </c>
      <c r="W30" t="n">
        <v>0</v>
      </c>
    </row>
    <row r="31">
      <c r="A31" s="8" t="inlineStr">
        <is>
          <t>мат.</t>
        </is>
      </c>
      <c r="B31" s="8" t="inlineStr">
        <is>
          <t>13АВ-РД-АР1.1-К3</t>
        </is>
      </c>
      <c r="C31" s="9" t="n">
        <v>45974</v>
      </c>
      <c r="D31" s="10" t="inlineStr">
        <is>
          <t>Кладка</t>
        </is>
      </c>
      <c r="E31" s="10" t="inlineStr">
        <is>
          <t>БАЗА</t>
        </is>
      </c>
      <c r="F31" s="8" t="inlineStr">
        <is>
          <t>Перегородка из бетонный камней 190 мм</t>
        </is>
      </c>
      <c r="G31" s="11" t="inlineStr">
        <is>
          <t>Корпус 3</t>
        </is>
      </c>
      <c r="H31" s="10" t="n"/>
      <c r="I31" s="10" t="inlineStr">
        <is>
          <t>м3</t>
        </is>
      </c>
      <c r="J31" s="12" t="n"/>
      <c r="K31" s="13" t="inlineStr">
        <is>
          <t>Перегородка из бетонный камней, полнотелый, толщиной 190
мм на ц/п растворе</t>
        </is>
      </c>
      <c r="L31" s="10" t="inlineStr">
        <is>
          <t>м3</t>
        </is>
      </c>
      <c r="M31" s="10" t="n">
        <v>11.71</v>
      </c>
      <c r="N31" s="10">
        <f>SUM(X31:AZ31)</f>
        <v/>
      </c>
      <c r="O31" s="10" t="n"/>
      <c r="P31" s="10" t="n"/>
      <c r="Q31" s="14">
        <f>N31*V31+P31</f>
        <v/>
      </c>
      <c r="R31" s="10" t="inlineStr">
        <is>
          <t>м3</t>
        </is>
      </c>
      <c r="S31" s="10" t="n"/>
      <c r="T31" s="10" t="n"/>
      <c r="U31" s="10" t="inlineStr">
        <is>
          <t>СВ 3.1</t>
        </is>
      </c>
      <c r="V31" s="10" t="n">
        <v>1</v>
      </c>
      <c r="W31" t="n">
        <v>0</v>
      </c>
    </row>
    <row r="32">
      <c r="A32" s="15" t="n"/>
      <c r="B32" s="15" t="inlineStr">
        <is>
          <t>13АВ-РД-АР1.1-К3</t>
        </is>
      </c>
      <c r="C32" s="16" t="n">
        <v>45974</v>
      </c>
      <c r="D32" s="17" t="inlineStr">
        <is>
          <t>Кладка</t>
        </is>
      </c>
      <c r="E32" s="17" t="n"/>
      <c r="F32" s="29" t="inlineStr">
        <is>
          <t>Перегородка из бетонный камней 190 мм</t>
        </is>
      </c>
      <c r="G32" s="29" t="inlineStr">
        <is>
          <t>Корпус 3</t>
        </is>
      </c>
      <c r="H32" s="30" t="n"/>
      <c r="I32" s="17" t="inlineStr">
        <is>
          <t>м.п.</t>
        </is>
      </c>
      <c r="J32" s="31" t="n"/>
      <c r="K32" s="19" t="inlineStr">
        <is>
          <t>Примыкание к плите перекрытия</t>
        </is>
      </c>
      <c r="L32" s="30" t="inlineStr">
        <is>
          <t>м.п.</t>
        </is>
      </c>
      <c r="M32" s="17" t="n">
        <v>0</v>
      </c>
      <c r="N32" s="17">
        <f>SUM(X32:AZ32)</f>
        <v/>
      </c>
      <c r="O32" s="17" t="n"/>
      <c r="P32" s="17" t="n"/>
      <c r="Q32" s="28">
        <f>N32*V32+P32</f>
        <v/>
      </c>
      <c r="R32" s="17" t="inlineStr">
        <is>
          <t>м.п.</t>
        </is>
      </c>
      <c r="S32" s="17" t="n"/>
      <c r="T32" s="17" t="n"/>
      <c r="U32" s="15" t="inlineStr">
        <is>
          <t>Верхнее крепление бетонных камней СВ 3.1 к перекрытию</t>
        </is>
      </c>
      <c r="V32" s="17" t="n">
        <v>1</v>
      </c>
      <c r="W32" t="n">
        <v>0</v>
      </c>
    </row>
    <row r="33">
      <c r="A33" s="15" t="n"/>
      <c r="B33" s="15" t="inlineStr">
        <is>
          <t>13АВ-РД-АР1.1-К3</t>
        </is>
      </c>
      <c r="C33" s="16" t="n">
        <v>45974</v>
      </c>
      <c r="D33" s="17" t="inlineStr">
        <is>
          <t>Кладка</t>
        </is>
      </c>
      <c r="E33" s="17" t="n"/>
      <c r="F33" s="15" t="inlineStr">
        <is>
          <t>Перегородка из бетонный камней 190 мм</t>
        </is>
      </c>
      <c r="G33" s="15" t="inlineStr">
        <is>
          <t>Корпус 3</t>
        </is>
      </c>
      <c r="H33" s="17" t="n"/>
      <c r="I33" s="17" t="n"/>
      <c r="J33" s="18" t="n"/>
      <c r="K33" s="19" t="inlineStr">
        <is>
          <t>Вертикалное примыкание к ЖБ стенам</t>
        </is>
      </c>
      <c r="L33" s="20" t="inlineStr">
        <is>
          <t>м.п.</t>
        </is>
      </c>
      <c r="M33" s="21" t="n">
        <v>0</v>
      </c>
      <c r="N33" s="21">
        <f>W33</f>
        <v/>
      </c>
      <c r="O33" s="22" t="n">
        <v>0</v>
      </c>
      <c r="P33" s="22" t="n">
        <v>0</v>
      </c>
      <c r="Q33" s="21">
        <f>N33*V33+P33</f>
        <v/>
      </c>
      <c r="R33" s="22" t="inlineStr">
        <is>
          <t>м.п.</t>
        </is>
      </c>
      <c r="S33" s="17" t="n"/>
      <c r="T33" s="17" t="n"/>
      <c r="U33" s="19" t="inlineStr">
        <is>
          <t>Вертикалное примыкание к ЖБ стенам</t>
        </is>
      </c>
      <c r="V33" s="17" t="n">
        <v>1</v>
      </c>
      <c r="W33" t="n">
        <v>0</v>
      </c>
    </row>
    <row r="34">
      <c r="A34" s="8" t="inlineStr">
        <is>
          <t>мат.</t>
        </is>
      </c>
      <c r="B34" s="8" t="inlineStr">
        <is>
          <t>13АВ-РД-АР1.1-К3</t>
        </is>
      </c>
      <c r="C34" s="9" t="n">
        <v>45974</v>
      </c>
      <c r="D34" s="10" t="inlineStr">
        <is>
          <t>Кладка</t>
        </is>
      </c>
      <c r="E34" s="10" t="inlineStr">
        <is>
          <t>БАЗА</t>
        </is>
      </c>
      <c r="F34" s="8" t="inlineStr">
        <is>
          <t>Утеплитель 150 мм</t>
        </is>
      </c>
      <c r="G34" s="11" t="inlineStr">
        <is>
          <t>Корпус 3</t>
        </is>
      </c>
      <c r="H34" s="10" t="n"/>
      <c r="I34" s="10" t="inlineStr">
        <is>
          <t>м3</t>
        </is>
      </c>
      <c r="J34" s="12" t="n"/>
      <c r="K34" s="13" t="inlineStr">
        <is>
          <t>Утепление плитами из минеральной ваты толщиной 150мм,
плотностью ≥140кг/м³</t>
        </is>
      </c>
      <c r="L34" s="10" t="inlineStr">
        <is>
          <t>м3</t>
        </is>
      </c>
      <c r="M34" s="10" t="n">
        <v>63.09</v>
      </c>
      <c r="N34" s="10">
        <f>SUM(X34:AZ34)</f>
        <v/>
      </c>
      <c r="O34" s="10" t="n"/>
      <c r="P34" s="10" t="n"/>
      <c r="Q34" s="14">
        <f>N34*V34+P34</f>
        <v/>
      </c>
      <c r="R34" s="10" t="inlineStr">
        <is>
          <t>м3</t>
        </is>
      </c>
      <c r="S34" s="10" t="n"/>
      <c r="T34" s="10" t="n"/>
      <c r="U34" s="10" t="inlineStr">
        <is>
          <t>У4</t>
        </is>
      </c>
      <c r="V34" s="10" t="n">
        <v>1</v>
      </c>
      <c r="W34" t="n">
        <v>0</v>
      </c>
    </row>
    <row r="35">
      <c r="A35" s="15" t="n"/>
      <c r="B35" s="15" t="inlineStr">
        <is>
          <t>13АВ-РД-АР1.1-К3</t>
        </is>
      </c>
      <c r="C35" s="16" t="n">
        <v>45974</v>
      </c>
      <c r="D35" s="17" t="inlineStr">
        <is>
          <t>Кладка</t>
        </is>
      </c>
      <c r="E35" s="17" t="n"/>
      <c r="F35" s="29" t="inlineStr">
        <is>
          <t>Утеплитель 150 мм</t>
        </is>
      </c>
      <c r="G35" s="29" t="inlineStr">
        <is>
          <t>Корпус 3</t>
        </is>
      </c>
      <c r="H35" s="30" t="n"/>
      <c r="I35" s="17" t="inlineStr">
        <is>
          <t>м.п.</t>
        </is>
      </c>
      <c r="J35" s="31" t="n"/>
      <c r="K35" s="19" t="inlineStr">
        <is>
          <t>Примыкание к плите перекрытия</t>
        </is>
      </c>
      <c r="L35" s="17" t="inlineStr">
        <is>
          <t>м.п.</t>
        </is>
      </c>
      <c r="M35" s="17" t="n">
        <v>0</v>
      </c>
      <c r="N35" s="17">
        <f>SUM(X35:AZ35)</f>
        <v/>
      </c>
      <c r="O35" s="17" t="n"/>
      <c r="P35" s="17" t="n"/>
      <c r="Q35" s="28">
        <f>N35*V35+P35</f>
        <v/>
      </c>
      <c r="R35" s="17" t="inlineStr">
        <is>
          <t>м.п.</t>
        </is>
      </c>
      <c r="S35" s="17" t="n"/>
      <c r="T35" s="17" t="n"/>
      <c r="U35" s="15" t="inlineStr">
        <is>
          <t>Верхнее крепление утеплителя У4 к перекрытию</t>
        </is>
      </c>
      <c r="V35" s="17" t="n">
        <v>1</v>
      </c>
      <c r="W35" t="n">
        <v>0</v>
      </c>
    </row>
    <row r="36">
      <c r="A36" s="15" t="n"/>
      <c r="B36" s="15" t="inlineStr">
        <is>
          <t>13АВ-РД-АР1.1-К3</t>
        </is>
      </c>
      <c r="C36" s="16" t="n">
        <v>45974</v>
      </c>
      <c r="D36" s="17" t="inlineStr">
        <is>
          <t>Кладка</t>
        </is>
      </c>
      <c r="E36" s="17" t="n"/>
      <c r="F36" s="15" t="inlineStr">
        <is>
          <t>Утеплитель 150 мм</t>
        </is>
      </c>
      <c r="G36" s="15" t="inlineStr">
        <is>
          <t>Корпус 3</t>
        </is>
      </c>
      <c r="H36" s="17" t="n"/>
      <c r="I36" s="17" t="n"/>
      <c r="J36" s="18" t="n"/>
      <c r="K36" s="19" t="inlineStr">
        <is>
          <t>Вертикалное примыкание к ЖБ стенам</t>
        </is>
      </c>
      <c r="L36" s="20" t="inlineStr">
        <is>
          <t>м.п.</t>
        </is>
      </c>
      <c r="M36" s="21" t="n">
        <v>0</v>
      </c>
      <c r="N36" s="21">
        <f>W36</f>
        <v/>
      </c>
      <c r="O36" s="22" t="n">
        <v>0</v>
      </c>
      <c r="P36" s="22" t="n">
        <v>0</v>
      </c>
      <c r="Q36" s="21">
        <f>N36*V36+P36</f>
        <v/>
      </c>
      <c r="R36" s="22" t="inlineStr">
        <is>
          <t>м.п.</t>
        </is>
      </c>
      <c r="S36" s="17" t="n"/>
      <c r="T36" s="17" t="n"/>
      <c r="U36" s="19" t="inlineStr">
        <is>
          <t>Вертикалное примыкание к ЖБ стенам</t>
        </is>
      </c>
      <c r="V36" s="17" t="n">
        <v>1</v>
      </c>
      <c r="W36" t="n">
        <v>0</v>
      </c>
    </row>
    <row r="37">
      <c r="A37" s="8" t="inlineStr">
        <is>
          <t>мат.</t>
        </is>
      </c>
      <c r="B37" s="8" t="inlineStr">
        <is>
          <t>13АВ-РД-АР1.1-К3</t>
        </is>
      </c>
      <c r="C37" s="9" t="n">
        <v>45974</v>
      </c>
      <c r="D37" s="10" t="inlineStr">
        <is>
          <t>Кладка</t>
        </is>
      </c>
      <c r="E37" s="10" t="inlineStr">
        <is>
          <t>БАЗА</t>
        </is>
      </c>
      <c r="F37" s="8" t="inlineStr">
        <is>
          <t>Перегородка из бетонный камней 100 мм</t>
        </is>
      </c>
      <c r="G37" s="11" t="inlineStr">
        <is>
          <t>Корпус 3</t>
        </is>
      </c>
      <c r="H37" s="10" t="n"/>
      <c r="I37" s="10" t="inlineStr">
        <is>
          <t>м3</t>
        </is>
      </c>
      <c r="J37" s="12" t="n"/>
      <c r="K37" s="13" t="inlineStr">
        <is>
          <t>Перегородка из бетонный камней, полнотелый, толщиной 100
мм на клеевом растворе (REI 180)</t>
        </is>
      </c>
      <c r="L37" s="10" t="inlineStr">
        <is>
          <t>м3</t>
        </is>
      </c>
      <c r="M37" s="10" t="n">
        <v>36.58</v>
      </c>
      <c r="N37" s="10">
        <f>SUM(X37:AZ37)</f>
        <v/>
      </c>
      <c r="O37" s="10" t="n"/>
      <c r="P37" s="10" t="n"/>
      <c r="Q37" s="14">
        <f>N37*V37+P37</f>
        <v/>
      </c>
      <c r="R37" s="10" t="inlineStr">
        <is>
          <t>м3</t>
        </is>
      </c>
      <c r="S37" s="10" t="n"/>
      <c r="T37" s="10" t="n"/>
      <c r="U37" s="10" t="inlineStr">
        <is>
          <t>СВ 3.2</t>
        </is>
      </c>
      <c r="V37" s="10" t="n">
        <v>1</v>
      </c>
      <c r="W37" t="n">
        <v>0</v>
      </c>
    </row>
    <row r="38">
      <c r="A38" s="15" t="n"/>
      <c r="B38" s="15" t="inlineStr">
        <is>
          <t>13АВ-РД-АР1.1-К3</t>
        </is>
      </c>
      <c r="C38" s="16" t="n">
        <v>45974</v>
      </c>
      <c r="D38" s="17" t="inlineStr">
        <is>
          <t>Кладка</t>
        </is>
      </c>
      <c r="E38" s="17" t="n"/>
      <c r="F38" s="29" t="inlineStr">
        <is>
          <t>Перегородка из бетонный камней 100 мм</t>
        </is>
      </c>
      <c r="G38" s="29" t="inlineStr">
        <is>
          <t>Корпус 3</t>
        </is>
      </c>
      <c r="H38" s="30" t="n"/>
      <c r="I38" s="17" t="inlineStr">
        <is>
          <t>м.п.</t>
        </is>
      </c>
      <c r="J38" s="31" t="n"/>
      <c r="K38" s="19" t="inlineStr">
        <is>
          <t>Примыкание к плите перекрытия</t>
        </is>
      </c>
      <c r="L38" s="17" t="inlineStr">
        <is>
          <t>м.п.</t>
        </is>
      </c>
      <c r="M38" s="17" t="n">
        <v>0</v>
      </c>
      <c r="N38" s="17">
        <f>SUM(X38:AZ38)</f>
        <v/>
      </c>
      <c r="O38" s="17" t="n"/>
      <c r="P38" s="17" t="n"/>
      <c r="Q38" s="28">
        <f>N38*V38+P38</f>
        <v/>
      </c>
      <c r="R38" s="17" t="inlineStr">
        <is>
          <t>м.п.</t>
        </is>
      </c>
      <c r="S38" s="17" t="n"/>
      <c r="T38" s="17" t="n"/>
      <c r="U38" s="15" t="inlineStr">
        <is>
          <t>Верхнее крепление бетонных камней СВ 3.2 к перекрытию</t>
        </is>
      </c>
      <c r="V38" s="17" t="n">
        <v>1</v>
      </c>
      <c r="W38" t="n">
        <v>0</v>
      </c>
    </row>
    <row r="39">
      <c r="A39" s="15" t="n"/>
      <c r="B39" s="15" t="inlineStr">
        <is>
          <t>13АВ-РД-АР1.1-К3</t>
        </is>
      </c>
      <c r="C39" s="16" t="n">
        <v>45974</v>
      </c>
      <c r="D39" s="17" t="inlineStr">
        <is>
          <t>Кладка</t>
        </is>
      </c>
      <c r="E39" s="17" t="n"/>
      <c r="F39" s="15" t="inlineStr">
        <is>
          <t>Перегородка из бетонный камней 100 мм</t>
        </is>
      </c>
      <c r="G39" s="15" t="inlineStr">
        <is>
          <t>Корпус 3</t>
        </is>
      </c>
      <c r="H39" s="17" t="n"/>
      <c r="I39" s="17" t="n"/>
      <c r="J39" s="18" t="n"/>
      <c r="K39" s="19" t="inlineStr">
        <is>
          <t>Вертикалное примыкание к ЖБ стенам</t>
        </is>
      </c>
      <c r="L39" s="20" t="inlineStr">
        <is>
          <t>м.п.</t>
        </is>
      </c>
      <c r="M39" s="21" t="n">
        <v>0</v>
      </c>
      <c r="N39" s="21">
        <f>W39</f>
        <v/>
      </c>
      <c r="O39" s="22" t="n">
        <v>0</v>
      </c>
      <c r="P39" s="22" t="n">
        <v>0</v>
      </c>
      <c r="Q39" s="21">
        <f>N39*V39+P39</f>
        <v/>
      </c>
      <c r="R39" s="22" t="inlineStr">
        <is>
          <t>м.п.</t>
        </is>
      </c>
      <c r="S39" s="17" t="n"/>
      <c r="T39" s="17" t="n"/>
      <c r="U39" s="19" t="inlineStr">
        <is>
          <t>Вертикалное примыкание к ЖБ стенам</t>
        </is>
      </c>
      <c r="V39" s="17" t="n">
        <v>1</v>
      </c>
      <c r="W39" t="n">
        <v>0</v>
      </c>
    </row>
    <row r="40">
      <c r="A40" s="8" t="inlineStr">
        <is>
          <t>мат.</t>
        </is>
      </c>
      <c r="B40" s="8" t="inlineStr">
        <is>
          <t>13АВ-РД-АР1.1-К3</t>
        </is>
      </c>
      <c r="C40" s="9" t="n">
        <v>45974</v>
      </c>
      <c r="D40" s="10" t="inlineStr">
        <is>
          <t>Кладка</t>
        </is>
      </c>
      <c r="E40" s="10" t="inlineStr">
        <is>
          <t>БАЗА</t>
        </is>
      </c>
      <c r="F40" s="8" t="inlineStr">
        <is>
          <t>Перегородка из бетонный камней 80 мм</t>
        </is>
      </c>
      <c r="G40" s="11" t="inlineStr">
        <is>
          <t>Корпус 3</t>
        </is>
      </c>
      <c r="H40" s="10" t="n"/>
      <c r="I40" s="10" t="inlineStr">
        <is>
          <t>м2</t>
        </is>
      </c>
      <c r="J40" s="12" t="n"/>
      <c r="K40" s="13" t="inlineStr">
        <is>
          <t>Перегородка из бетонный камней, полнотелый, толщиной 80 мм
на клеевом растворе</t>
        </is>
      </c>
      <c r="L40" s="10" t="inlineStr">
        <is>
          <t>м2</t>
        </is>
      </c>
      <c r="M40" s="10" t="n">
        <v>74.34</v>
      </c>
      <c r="N40" s="10">
        <f>SUM(X40:AZ40)</f>
        <v/>
      </c>
      <c r="O40" s="10" t="n"/>
      <c r="P40" s="10" t="n"/>
      <c r="Q40" s="14">
        <f>N40*V40+P40</f>
        <v/>
      </c>
      <c r="R40" s="10" t="inlineStr">
        <is>
          <t>м2</t>
        </is>
      </c>
      <c r="S40" s="10" t="n"/>
      <c r="T40" s="10" t="n"/>
      <c r="U40" s="10" t="inlineStr">
        <is>
          <t>СВ 3.3</t>
        </is>
      </c>
      <c r="V40" s="10" t="n">
        <v>1</v>
      </c>
      <c r="W40" t="n">
        <v>0</v>
      </c>
    </row>
    <row r="41">
      <c r="A41" s="15" t="n"/>
      <c r="B41" s="15" t="inlineStr">
        <is>
          <t>13АВ-РД-АР1.1-К3</t>
        </is>
      </c>
      <c r="C41" s="16" t="n">
        <v>45974</v>
      </c>
      <c r="D41" s="17" t="inlineStr">
        <is>
          <t>Кладка</t>
        </is>
      </c>
      <c r="E41" s="17" t="n"/>
      <c r="F41" s="29" t="inlineStr">
        <is>
          <t>Перегородка из бетонный камней 80 мм</t>
        </is>
      </c>
      <c r="G41" s="29" t="inlineStr">
        <is>
          <t>Корпус 3</t>
        </is>
      </c>
      <c r="H41" s="30" t="n"/>
      <c r="I41" s="17" t="inlineStr">
        <is>
          <t>м.п.</t>
        </is>
      </c>
      <c r="J41" s="31" t="n"/>
      <c r="K41" s="19" t="inlineStr">
        <is>
          <t>Примыкание к плите перекрытия</t>
        </is>
      </c>
      <c r="L41" s="17" t="inlineStr">
        <is>
          <t>м.п.</t>
        </is>
      </c>
      <c r="M41" s="17" t="n">
        <v>0</v>
      </c>
      <c r="N41" s="17">
        <f>SUM(X41:AZ41)</f>
        <v/>
      </c>
      <c r="O41" s="17" t="n"/>
      <c r="P41" s="17" t="n"/>
      <c r="Q41" s="28">
        <f>N41*V41+P41</f>
        <v/>
      </c>
      <c r="R41" s="17" t="inlineStr">
        <is>
          <t>м.п.</t>
        </is>
      </c>
      <c r="S41" s="17" t="n"/>
      <c r="T41" s="17" t="n"/>
      <c r="U41" s="15" t="inlineStr">
        <is>
          <t>Верхнее крепление бетонных камней СВ 3.3 к перекрытию</t>
        </is>
      </c>
      <c r="V41" s="17" t="n">
        <v>1</v>
      </c>
      <c r="W41" t="n">
        <v>0</v>
      </c>
    </row>
    <row r="42">
      <c r="A42" s="15" t="n"/>
      <c r="B42" s="15" t="inlineStr">
        <is>
          <t>13АВ-РД-АР1.1-К3</t>
        </is>
      </c>
      <c r="C42" s="16" t="n">
        <v>45974</v>
      </c>
      <c r="D42" s="17" t="inlineStr">
        <is>
          <t>Кладка</t>
        </is>
      </c>
      <c r="E42" s="17" t="n"/>
      <c r="F42" s="15" t="inlineStr">
        <is>
          <t>Перегородка из бетонный камней 80 мм</t>
        </is>
      </c>
      <c r="G42" s="15" t="inlineStr">
        <is>
          <t>Корпус 3</t>
        </is>
      </c>
      <c r="H42" s="17" t="n"/>
      <c r="I42" s="17" t="n"/>
      <c r="J42" s="18" t="n"/>
      <c r="K42" s="19" t="inlineStr">
        <is>
          <t>Вертикалное примыкание к ЖБ стенам</t>
        </is>
      </c>
      <c r="L42" s="20" t="inlineStr">
        <is>
          <t>м.п.</t>
        </is>
      </c>
      <c r="M42" s="21" t="n">
        <v>0</v>
      </c>
      <c r="N42" s="21">
        <f>W42</f>
        <v/>
      </c>
      <c r="O42" s="22" t="n">
        <v>0</v>
      </c>
      <c r="P42" s="22" t="n">
        <v>0</v>
      </c>
      <c r="Q42" s="21">
        <f>N42*V42+P42</f>
        <v/>
      </c>
      <c r="R42" s="22" t="inlineStr">
        <is>
          <t>м.п.</t>
        </is>
      </c>
      <c r="S42" s="17" t="n"/>
      <c r="T42" s="17" t="n"/>
      <c r="U42" s="19" t="inlineStr">
        <is>
          <t>Вертикалное примыкание к ЖБ стенам</t>
        </is>
      </c>
      <c r="V42" s="17" t="n">
        <v>1</v>
      </c>
      <c r="W42" t="n">
        <v>0</v>
      </c>
    </row>
    <row r="43">
      <c r="A43" s="8" t="inlineStr">
        <is>
          <t>мат.</t>
        </is>
      </c>
      <c r="B43" s="8" t="inlineStr">
        <is>
          <t>13АВ-РД-АР1.1-К3</t>
        </is>
      </c>
      <c r="C43" s="9" t="n">
        <v>45974</v>
      </c>
      <c r="D43" s="10" t="inlineStr">
        <is>
          <t>Кладка</t>
        </is>
      </c>
      <c r="E43" s="10" t="inlineStr">
        <is>
          <t>БАЗА</t>
        </is>
      </c>
      <c r="F43" s="8" t="inlineStr">
        <is>
          <t>Облицовка ГКЛВ на металокаркасе 27 мм</t>
        </is>
      </c>
      <c r="G43" s="11" t="inlineStr">
        <is>
          <t>Корпус 3</t>
        </is>
      </c>
      <c r="H43" s="10" t="n"/>
      <c r="I43" s="10" t="inlineStr">
        <is>
          <t>м2</t>
        </is>
      </c>
      <c r="J43" s="12" t="n"/>
      <c r="K43" s="13" t="inlineStr">
        <is>
          <t>Облицовка из ГКЛВ (2 слоя) на штатном металокаркасе (27мм)
с заполнением матами по типу "Шумостоп"</t>
        </is>
      </c>
      <c r="L43" s="10" t="inlineStr">
        <is>
          <t>м2</t>
        </is>
      </c>
      <c r="M43" s="10" t="n">
        <v>161.65</v>
      </c>
      <c r="N43" s="10">
        <f>SUM(X43:AZ43)</f>
        <v/>
      </c>
      <c r="O43" s="10" t="n"/>
      <c r="P43" s="10" t="n"/>
      <c r="Q43" s="14">
        <f>N43*V43+P43</f>
        <v/>
      </c>
      <c r="R43" s="10" t="inlineStr">
        <is>
          <t>м2</t>
        </is>
      </c>
      <c r="S43" s="10" t="n"/>
      <c r="T43" s="10" t="n"/>
      <c r="U43" s="10" t="inlineStr">
        <is>
          <t>СВ 4.1</t>
        </is>
      </c>
      <c r="V43" s="10" t="n">
        <v>1</v>
      </c>
      <c r="W43" t="n">
        <v>0</v>
      </c>
    </row>
    <row r="44">
      <c r="A44" s="15" t="n"/>
      <c r="B44" s="15" t="inlineStr">
        <is>
          <t>13АВ-РД-АР1.1-К3</t>
        </is>
      </c>
      <c r="C44" s="16" t="n">
        <v>45974</v>
      </c>
      <c r="D44" s="17" t="inlineStr">
        <is>
          <t>Кладка</t>
        </is>
      </c>
      <c r="E44" s="17" t="n"/>
      <c r="F44" s="29" t="inlineStr">
        <is>
          <t>Облицовка ГКЛВ на металокаркасе 27 мм</t>
        </is>
      </c>
      <c r="G44" s="29" t="inlineStr">
        <is>
          <t>Корпус 3</t>
        </is>
      </c>
      <c r="H44" s="30" t="n"/>
      <c r="I44" s="17" t="inlineStr">
        <is>
          <t>м.п.</t>
        </is>
      </c>
      <c r="J44" s="31" t="n"/>
      <c r="K44" s="19" t="inlineStr">
        <is>
          <t>Примыкание к плите перекрытия</t>
        </is>
      </c>
      <c r="L44" s="17" t="inlineStr">
        <is>
          <t>м.п.</t>
        </is>
      </c>
      <c r="M44" s="17" t="n">
        <v>0</v>
      </c>
      <c r="N44" s="17">
        <f>SUM(X44:AZ44)</f>
        <v/>
      </c>
      <c r="O44" s="17" t="n"/>
      <c r="P44" s="17" t="n"/>
      <c r="Q44" s="28">
        <f>N44*V44+P44</f>
        <v/>
      </c>
      <c r="R44" s="17" t="inlineStr">
        <is>
          <t>м.п.</t>
        </is>
      </c>
      <c r="S44" s="17" t="n"/>
      <c r="T44" s="17" t="n"/>
      <c r="U44" s="15" t="inlineStr">
        <is>
          <t>Верхнее крепление облицовки СВ 4.1 к перекрытию</t>
        </is>
      </c>
      <c r="V44" s="17" t="n">
        <v>1</v>
      </c>
      <c r="W44" t="n">
        <v>0</v>
      </c>
    </row>
    <row r="46">
      <c r="A46" s="36" t="inlineStr">
        <is>
          <t>ВНИМАНИЕ: заполнены только 4 строки (4,8,13,18) — надёжно сверены с ПД.</t>
        </is>
      </c>
    </row>
    <row r="47">
      <c r="A47" t="inlineStr">
        <is>
          <t>Строки 22 (Шахты МОП/СВ-1.4), 31/37/40 (семейство СВ-3.x) и далее по листу (45-354, Фахверк СТФ/СН-2.1/У4/СВ-4.1) — НЕ заполнены, требуют уточнения нумерации марок или доп.анализа.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2026-07-13T10:17:06Z</dcterms:created>
  <dcterms:modified xmlns:dcterms="http://purl.org/dc/terms/" xmlns:xsi="http://www.w3.org/2001/XMLSchema-instance" xsi:type="dcterms:W3CDTF">2026-07-13T10:17:06Z</dcterms:modified>
</cp:coreProperties>
</file>
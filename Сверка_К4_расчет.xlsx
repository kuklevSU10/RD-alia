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крытые вопросы" sheetId="1" state="visible" r:id="rId1"/>
    <sheet xmlns:r="http://schemas.openxmlformats.org/officeDocument/2006/relationships" name="Базовые материалы" sheetId="2" state="visible" r:id="rId2"/>
    <sheet xmlns:r="http://schemas.openxmlformats.org/officeDocument/2006/relationships" name="Перемычки - сталь итого" sheetId="3" state="visible" r:id="rId3"/>
    <sheet xmlns:r="http://schemas.openxmlformats.org/officeDocument/2006/relationships" name="Перемычки - по позициям (К4)" sheetId="4" state="visible" r:id="rId4"/>
    <sheet xmlns:r="http://schemas.openxmlformats.org/officeDocument/2006/relationships" name="Пристройка К3-К4" sheetId="5" state="visible" r:id="rId5"/>
    <sheet xmlns:r="http://schemas.openxmlformats.org/officeDocument/2006/relationships" name="Пристройка К4-К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№</t>
        </is>
      </c>
      <c r="B1" s="1" t="inlineStr">
        <is>
          <t>Вопрос</t>
        </is>
      </c>
      <c r="C1" s="1" t="inlineStr">
        <is>
          <t>Что нашёл</t>
        </is>
      </c>
      <c r="D1" s="1" t="inlineStr">
        <is>
          <t>Нужно от вас</t>
        </is>
      </c>
    </row>
    <row r="2" ht="60" customHeight="1">
      <c r="A2" s="8" t="n">
        <v>1</v>
      </c>
      <c r="B2" s="8" t="inlineStr">
        <is>
          <t>СВ-3.2 (внутр. СКЦ 80мм) — что за 2.6 м²?</t>
        </is>
      </c>
      <c r="C2" s="8" t="inlineStr">
        <is>
          <t>M=2.6 м², но сумма собственных этажных ячеек этой же строки в смете ≈11.1 м² — противоречие ВНУТРИ сметы, до сравнения с моделью. Модель по всему типу «111_СКЦ 80» даёт 155 м² (материал слоя которого к тому же почему-то указан как «Газобетон», а не «СКЦ»).</t>
        </is>
      </c>
      <c r="D2" s="8" t="inlineStr">
        <is>
          <t>К какому узлу/помещению относится эта строка? Без этого не могу понять, какое подмножество стен считать.</t>
        </is>
      </c>
    </row>
    <row r="3" ht="60" customHeight="1">
      <c r="A3" s="8" t="n">
        <v>2</v>
      </c>
      <c r="B3" s="8" t="inlineStr">
        <is>
          <t>СВ-1.3 (облицовка ГКЛВ) — разрыв модель↔проект</t>
        </is>
      </c>
      <c r="C3" s="8" t="inlineStr">
        <is>
          <t>Смета ожидает 7.9 м² на КАЖДОМ из 18 этажей. В модели нашёл только 1 тип с ГКЛВ, и он есть ТОЛЬКО на этаже 1 (Mark-параметр там вообще «ГВ-1.1» — марка с другого листа!). На этажах 2-18 — ни одного элемента.</t>
        </is>
      </c>
      <c r="D3" s="8" t="inlineStr">
        <is>
          <t>Подтвердить: модели правда не хватает на типовых этажах (надо домоделировать), или решение изменилось и строку пора снимать?</t>
        </is>
      </c>
    </row>
    <row r="4" ht="60" customHeight="1">
      <c r="A4" s="8" t="n">
        <v>3</v>
      </c>
      <c r="B4" s="8" t="inlineStr">
        <is>
          <t>Пристройка К3-К4 и К4-К5: СВ-1.2 (200мм) — расхождение ~2x</t>
        </is>
      </c>
      <c r="C4" s="8" t="inlineStr">
        <is>
          <t>И в К3-К4 (16.99 смета vs 33.54 модель), и в К4-К5 (3.4-3.8 смета vs 13.04 модель) модель существенно выше, пометками не объяснено.</t>
        </is>
      </c>
      <c r="D4" s="8" t="inlineStr">
        <is>
          <t>Нужен разбор по осям/помещениям — либо ваш комментарий, что это значит.</t>
        </is>
      </c>
    </row>
    <row r="5" ht="60" customHeight="1">
      <c r="A5" s="8" t="n">
        <v>4</v>
      </c>
      <c r="B5" s="8" t="inlineStr">
        <is>
          <t>Формула-опечатка в К4-К5, строка 24</t>
        </is>
      </c>
      <c r="C5" s="8">
        <f>0.72+87+0.87+0.87+0.87 — «87» похоже на «0.87» без точки (завышение ~в 20 раз). Остальные 4 слагаемых точно совпадают с массой пластин 50х4 из модели.</f>
        <v/>
      </c>
      <c r="D5" s="8" t="inlineStr">
        <is>
          <t>Подтвердить и поправить на 0.87, если согласны.</t>
        </is>
      </c>
    </row>
    <row r="6" ht="60" customHeight="1">
      <c r="A6" s="8" t="n">
        <v>5</v>
      </c>
      <c r="B6" s="8" t="inlineStr">
        <is>
          <t>Перемычки: 3 позиции с нулевой массой в модели</t>
        </is>
      </c>
      <c r="C6" s="8" t="inlineStr">
        <is>
          <t>ПР-1.13, ПР-1.14, ПР-1.15, ПР-1 ТП, ПР-2 ТП (55 экз.) — вложенные компоненты есть, но параметр OLP_Масса (число) = 0. Посчитать вес не могу, пока не заполнено в самой модели.</t>
        </is>
      </c>
      <c r="D6" s="8" t="inlineStr">
        <is>
          <t>Это к BIM-инженеру, ведущему модель — заполнить массу этих компонентов.</t>
        </is>
      </c>
    </row>
    <row r="7" ht="60" customHeight="1">
      <c r="A7" s="8" t="n">
        <v>6</v>
      </c>
      <c r="B7" s="8" t="inlineStr">
        <is>
          <t>Перемычки: типоразмеры металла не совпадают со сметой</t>
        </is>
      </c>
      <c r="C7" s="8" t="inlineStr">
        <is>
          <t>Смета ждёт «Пластина 50х4»/«Уголок 40х5» для позиций 2.1/2.2/2.4/2.9 (и 2.3/1.13/1.14). Модель по факту даёт «Пластина 40х4»/«Уголок 40х4» для большинства, а ПР-2.4 вообще без пластины.</t>
        </is>
      </c>
      <c r="D7" s="8" t="inlineStr">
        <is>
          <t>Подтвердить: модель — источник истины (тогда смету поправить под неё), или наоборот - эти позиции надо перемоделировать под сметный типоразмер?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20" customWidth="1" min="4" max="4"/>
    <col width="10" customWidth="1" min="5" max="5"/>
    <col width="16" customWidth="1" min="6" max="6"/>
    <col width="20" customWidth="1" min="7" max="7"/>
    <col width="10" customWidth="1" min="8" max="8"/>
    <col width="55" customWidth="1" min="9" max="9"/>
  </cols>
  <sheetData>
    <row r="1" ht="30" customHeight="1">
      <c r="A1" s="1" t="inlineStr">
        <is>
          <t>Строка сметы (марка)</t>
        </is>
      </c>
      <c r="B1" s="1" t="inlineStr">
        <is>
          <t>Ед.изм</t>
        </is>
      </c>
      <c r="C1" s="1" t="inlineStr">
        <is>
          <t>Смета: Кол-во по проекту (M)</t>
        </is>
      </c>
      <c r="D1" s="1" t="inlineStr">
        <is>
          <t>Модель: итого (без эт.1, K4-only)</t>
        </is>
      </c>
      <c r="E1" s="1" t="inlineStr">
        <is>
          <t>Δ итого, %</t>
        </is>
      </c>
      <c r="F1" s="1" t="inlineStr">
        <is>
          <t>Смета: типовой этаж</t>
        </is>
      </c>
      <c r="G1" s="1" t="inlineStr">
        <is>
          <t>Модель: типовой этаж (среднее эт.2-17)</t>
        </is>
      </c>
      <c r="H1" s="1" t="inlineStr">
        <is>
          <t>Δ этаж, %</t>
        </is>
      </c>
      <c r="I1" s="1" t="inlineStr">
        <is>
          <t>Комментарий</t>
        </is>
      </c>
    </row>
    <row r="2">
      <c r="A2" s="2" t="inlineStr">
        <is>
          <t>СН-1.2 (наруж. 250мм)</t>
        </is>
      </c>
      <c r="B2" s="2" t="inlineStr">
        <is>
          <t>м3</t>
        </is>
      </c>
      <c r="C2" s="2" t="n">
        <v>240.61</v>
      </c>
      <c r="D2" s="2" t="n">
        <v>242.49</v>
      </c>
      <c r="E2" s="3" t="n">
        <v>0.007813474086696295</v>
      </c>
      <c r="F2" s="2" t="n">
        <v>14.1</v>
      </c>
      <c r="G2" s="2" t="n">
        <v>14.08</v>
      </c>
      <c r="H2" s="3" t="n">
        <v>-0.001418439716312027</v>
      </c>
      <c r="I2" s="2" t="inlineStr">
        <is>
          <t>Метка совпадает с моделью напрямую. Этажи 2-17 сходятся &lt;0.5%.</t>
        </is>
      </c>
    </row>
    <row r="3">
      <c r="A3" s="2" t="inlineStr">
        <is>
          <t>СВ-1.2 (внутр. 200мм; смета ОШИБОЧНО пишет «СВ-1.0»)</t>
        </is>
      </c>
      <c r="B3" s="2" t="inlineStr">
        <is>
          <t>м3</t>
        </is>
      </c>
      <c r="C3" s="2" t="n">
        <v>651.85</v>
      </c>
      <c r="D3" s="2" t="n">
        <v>693.71</v>
      </c>
      <c r="E3" s="3" t="n">
        <v>0.06421722788985197</v>
      </c>
      <c r="F3" s="2" t="n">
        <v>38.46</v>
      </c>
      <c r="G3" s="2" t="n">
        <v>38.43</v>
      </c>
      <c r="H3" s="3" t="n">
        <v>-0.0007800312012480795</v>
      </c>
      <c r="I3" s="2" t="inlineStr">
        <is>
          <t>Метка в смете устарела/неверна — физически это СВ-1.2. Итог отличается на +6.4%, но целиком за счёт этажа 1 (вне области листа); этажи 2-17 совпадают &lt;0.1%.</t>
        </is>
      </c>
    </row>
    <row r="4">
      <c r="A4" s="2" t="inlineStr">
        <is>
          <t>СВ-1.1 (внутр. 250мм)</t>
        </is>
      </c>
      <c r="B4" s="2" t="inlineStr">
        <is>
          <t>м3</t>
        </is>
      </c>
      <c r="C4" s="2" t="n">
        <v>28.47</v>
      </c>
      <c r="D4" s="2" t="n">
        <v>31.24</v>
      </c>
      <c r="E4" s="3" t="n">
        <v>0.09729539866526167</v>
      </c>
      <c r="F4" s="2" t="n">
        <v>1.68</v>
      </c>
      <c r="G4" s="2" t="n">
        <v>1.688</v>
      </c>
      <c r="H4" s="3" t="n">
        <v>0.004761904761904767</v>
      </c>
      <c r="I4" s="2" t="inlineStr">
        <is>
          <t>Этажи 2-17 совпадают &lt;0.5%. Итоговая разница +9.7% целиком за счёт этажа 1.</t>
        </is>
      </c>
    </row>
    <row r="5">
      <c r="A5" s="2" t="inlineStr">
        <is>
          <t>СВ-3.1 (СКЦ 190мм; имя типа в модели «(СВ-1.3)» устарело, Mark-параметр верно даёт СВ-3.1)</t>
        </is>
      </c>
      <c r="B5" s="2" t="inlineStr">
        <is>
          <t>м3</t>
        </is>
      </c>
      <c r="C5" s="2" t="n">
        <v>18.45</v>
      </c>
      <c r="D5" s="2" t="n">
        <v>21.59</v>
      </c>
      <c r="E5" s="3" t="n">
        <v>0.170189701897019</v>
      </c>
      <c r="F5" s="2" t="n">
        <v>1.15</v>
      </c>
      <c r="G5" s="2" t="n">
        <v>1.153</v>
      </c>
      <c r="H5" s="3" t="n">
        <v>0.002608695652174012</v>
      </c>
      <c r="I5" s="2" t="inlineStr">
        <is>
          <t>Этажи 2-17 совпадают &lt;0.3%. Итоговая разница +17% целиком за счёт этажа 1 (отсутствует на этаже 18 и там, и там).</t>
        </is>
      </c>
    </row>
    <row r="6">
      <c r="A6" s="4" t="inlineStr">
        <is>
          <t>СВ-3.2 (внутр. СКЦ 80мм)</t>
        </is>
      </c>
      <c r="B6" s="4" t="inlineStr">
        <is>
          <t>м2</t>
        </is>
      </c>
      <c r="C6" s="4" t="n">
        <v>2.6</v>
      </c>
      <c r="D6" s="4" t="n">
        <v>155.03</v>
      </c>
      <c r="E6" s="5" t="n">
        <v>58.62692307692308</v>
      </c>
      <c r="F6" s="4" t="n"/>
      <c r="G6" s="4" t="n"/>
      <c r="H6" s="4" t="n"/>
      <c r="I6" s="4" t="inlineStr">
        <is>
          <t>ПРОТИВОРЕЧИЕ: собственная сумма этажных ячеек этой строки в смете ≈11.1 м² — уже не бьётся с M=2.6 ДО всякого сравнения с моделью. Материал слоя в самом типе модели указан «Газобетон», а не «СКЦ» — нестыковка внутри модели. Модель по всему типу — 155 м², в 60 раз больше. Похоже, смета имеет в виду узкий локальный элемент, а не весь пул стен типа. НУЖНО РЕШЕНИЕ ИНЖЕНЕРА.</t>
        </is>
      </c>
    </row>
    <row r="7">
      <c r="A7" s="6" t="inlineStr">
        <is>
          <t>Шахты / СВ-1.4 (100мм)</t>
        </is>
      </c>
      <c r="B7" s="6" t="inlineStr">
        <is>
          <t>м2</t>
        </is>
      </c>
      <c r="C7" s="6" t="n">
        <v>63</v>
      </c>
      <c r="D7" s="6" t="n">
        <v>66.98999999999999</v>
      </c>
      <c r="E7" s="7" t="n">
        <v>0.06333333333333326</v>
      </c>
      <c r="F7" s="6" t="n">
        <v>3.7</v>
      </c>
      <c r="G7" s="6" t="n"/>
      <c r="H7" s="6" t="n"/>
      <c r="I7" s="6" t="inlineStr">
        <is>
          <t>Собственная сумма этажных ячеек сметы ≈63.7 — внутренне согласована. Модель выше на ~6%.</t>
        </is>
      </c>
    </row>
    <row r="8">
      <c r="A8" s="2" t="inlineStr">
        <is>
          <t>СВ-2.1 (ПСП влагостойкий)</t>
        </is>
      </c>
      <c r="B8" s="2" t="inlineStr">
        <is>
          <t>м2</t>
        </is>
      </c>
      <c r="C8" s="2" t="n">
        <v>3037.8</v>
      </c>
      <c r="D8" s="2" t="n">
        <v>3037.4</v>
      </c>
      <c r="E8" s="3" t="n">
        <v>-0.0001316742379353779</v>
      </c>
      <c r="F8" s="2" t="n"/>
      <c r="G8" s="2" t="n"/>
      <c r="H8" s="2" t="n"/>
      <c r="I8" s="2" t="inlineStr">
        <is>
          <t>Практически идеальное совпадение (-0.01%). На этаже 1 нет ни в модели, ни в смете.</t>
        </is>
      </c>
    </row>
    <row r="9">
      <c r="A9" s="2" t="inlineStr">
        <is>
          <t>СВ-2.2 (ПСП обычный)</t>
        </is>
      </c>
      <c r="B9" s="2" t="inlineStr">
        <is>
          <t>м2</t>
        </is>
      </c>
      <c r="C9" s="2" t="n">
        <v>3176.4</v>
      </c>
      <c r="D9" s="2" t="n">
        <v>3176.43</v>
      </c>
      <c r="E9" s="3" t="n">
        <v>9.444654325571508e-06</v>
      </c>
      <c r="F9" s="2" t="n"/>
      <c r="G9" s="2" t="n"/>
      <c r="H9" s="2" t="n"/>
      <c r="I9" s="2" t="inlineStr">
        <is>
          <t>Практически идеальное совпадение (+0.001%). На этаже 1 нет ни в модели, ни в смете.</t>
        </is>
      </c>
    </row>
    <row r="10">
      <c r="A10" s="4" t="inlineStr">
        <is>
          <t>СВ-1.3 (облицовка ГКЛВ)</t>
        </is>
      </c>
      <c r="B10" s="4" t="inlineStr">
        <is>
          <t>м2</t>
        </is>
      </c>
      <c r="C10" s="4" t="n">
        <v>7.9</v>
      </c>
      <c r="D10" s="4" t="n"/>
      <c r="E10" s="4" t="n"/>
      <c r="F10" s="4" t="n">
        <v>7.9</v>
      </c>
      <c r="G10" s="4" t="n"/>
      <c r="H10" s="4" t="n"/>
      <c r="I10" s="4" t="inlineStr">
        <is>
          <t>РАЗРЫВ МОДЕЛЬ↔ПРОЕКТ: M=7.9 — это норма НА этаж (не итог), смета ожидает её на КАЖДОМ из 18 этажей. В модели найден только один тип с гипсокартоном/ГКЛВ, и он существует ТОЛЬКО на этаже 1 (65.9 м², Mark-параметр там вообще «ГВ-1.1» — марка из другого листа, К4-К5). На этажах 2-18 — ни одного элемента с этим материалом. НУЖНО РЕШЕНИЕ ИНЖЕНЕРА.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Профиль</t>
        </is>
      </c>
      <c r="B1" s="1" t="inlineStr">
        <is>
          <t>Масса, кг</t>
        </is>
      </c>
      <c r="C1" s="1" t="inlineStr">
        <is>
          <t>Масса, т</t>
        </is>
      </c>
      <c r="D1" s="1" t="inlineStr">
        <is>
          <t>Позиции (К4)</t>
        </is>
      </c>
    </row>
    <row r="2">
      <c r="A2" s="8" t="inlineStr">
        <is>
          <t>Уголок 75х6</t>
        </is>
      </c>
      <c r="B2" s="8" t="n">
        <v>3858.676</v>
      </c>
      <c r="C2" s="8" t="n">
        <v>3.85868</v>
      </c>
      <c r="D2" s="8" t="inlineStr">
        <is>
          <t>ПР-2.10, ПР-2.4, ПР-2.5, ПР-2.6, ПР-2.7, ПР-2.8</t>
        </is>
      </c>
    </row>
    <row r="3">
      <c r="A3" s="8" t="inlineStr">
        <is>
          <t>Уголок 40х4</t>
        </is>
      </c>
      <c r="B3" s="8" t="n">
        <v>1182.654</v>
      </c>
      <c r="C3" s="8" t="n">
        <v>1.18265</v>
      </c>
      <c r="D3" s="8" t="inlineStr">
        <is>
          <t>ПР-1.7, ПР-2.1, ПР-2.2, ПР-2.3, ПР-2.9</t>
        </is>
      </c>
    </row>
    <row r="4">
      <c r="A4" s="8" t="inlineStr">
        <is>
          <t>Анкер-шпилька Hilti HST M 10х100</t>
        </is>
      </c>
      <c r="B4" s="8" t="n">
        <v>200.7</v>
      </c>
      <c r="C4" s="8" t="n">
        <v>0.2007</v>
      </c>
      <c r="D4" s="8" t="inlineStr">
        <is>
          <t>ПР-1.7, ПР-2.10, ПР-2.2, ПР-2.3, ПР-2.7, ПР-2.8, ПР-2.9</t>
        </is>
      </c>
    </row>
    <row r="5">
      <c r="A5" s="8" t="inlineStr">
        <is>
          <t>Уголок 80х6</t>
        </is>
      </c>
      <c r="B5" s="8" t="n">
        <v>96.122</v>
      </c>
      <c r="C5" s="8" t="n">
        <v>0.09612</v>
      </c>
      <c r="D5" s="8" t="inlineStr">
        <is>
          <t>ПР-2.2, ПР-2.3, ПР-2.9</t>
        </is>
      </c>
    </row>
    <row r="6">
      <c r="A6" s="8" t="inlineStr">
        <is>
          <t>Пластина 40х4</t>
        </is>
      </c>
      <c r="B6" s="8" t="n">
        <v>37.755</v>
      </c>
      <c r="C6" s="8" t="n">
        <v>0.03776</v>
      </c>
      <c r="D6" s="8" t="inlineStr">
        <is>
          <t>ПР-2.1, ПР-2.2, ПР-2.3, ПР-2.9</t>
        </is>
      </c>
    </row>
    <row r="7">
      <c r="A7" s="8" t="inlineStr">
        <is>
          <t>Уголок 40х5</t>
        </is>
      </c>
      <c r="B7" s="8" t="n">
        <v>13.708</v>
      </c>
      <c r="C7" s="8" t="n">
        <v>0.01371</v>
      </c>
      <c r="D7" s="8" t="inlineStr">
        <is>
          <t>ПР-1.2, ПР-1.3</t>
        </is>
      </c>
    </row>
    <row r="8">
      <c r="A8" s="8" t="inlineStr">
        <is>
          <t>Пластина 50х5</t>
        </is>
      </c>
      <c r="B8" s="8" t="n">
        <v>4.335</v>
      </c>
      <c r="C8" s="8" t="n">
        <v>0.00434</v>
      </c>
      <c r="D8" s="8" t="inlineStr">
        <is>
          <t>ПР-1.2, ПР-1.3, ПР-1.7</t>
        </is>
      </c>
    </row>
    <row r="9">
      <c r="A9" s="8" t="inlineStr">
        <is>
          <t>Уголок 100х7</t>
        </is>
      </c>
      <c r="B9" s="8" t="n">
        <v>2.697</v>
      </c>
      <c r="C9" s="8" t="n">
        <v>0.0027</v>
      </c>
      <c r="D9" s="8" t="inlineStr">
        <is>
          <t>ПР-1.7</t>
        </is>
      </c>
    </row>
    <row r="10">
      <c r="A10" s="6" t="inlineStr">
        <is>
          <t>ПР-18-19 L=1780</t>
        </is>
      </c>
      <c r="B10" s="6" t="n">
        <v>0</v>
      </c>
      <c r="C10" s="6" t="n">
        <v>0</v>
      </c>
      <c r="D10" s="6" t="inlineStr">
        <is>
          <t>ПР-1 ТП, ПР-1.14, ПР-2 ТП</t>
        </is>
      </c>
    </row>
    <row r="11">
      <c r="A11" s="6" t="inlineStr">
        <is>
          <t>ПР15-19 L=1380</t>
        </is>
      </c>
      <c r="B11" s="6" t="n">
        <v>0</v>
      </c>
      <c r="C11" s="6" t="n">
        <v>0</v>
      </c>
      <c r="D11" s="6" t="inlineStr">
        <is>
          <t>ПР-1.13</t>
        </is>
      </c>
    </row>
    <row r="12">
      <c r="A12" s="6" t="inlineStr">
        <is>
          <t>ПР 15-8 L=900</t>
        </is>
      </c>
      <c r="B12" s="6" t="n">
        <v>0</v>
      </c>
      <c r="C12" s="6" t="n">
        <v>0</v>
      </c>
      <c r="D12" s="6" t="inlineStr">
        <is>
          <t>ПР-1.15</t>
        </is>
      </c>
    </row>
    <row r="13">
      <c r="A13" s="9" t="inlineStr">
        <is>
          <t>ИТОГО</t>
        </is>
      </c>
      <c r="B13" s="9" t="n">
        <v>5396.648</v>
      </c>
      <c r="C13" s="9" t="n">
        <v>5.3966</v>
      </c>
      <c r="D13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6" customWidth="1" min="4" max="4"/>
    <col width="16" customWidth="1" min="5" max="5"/>
  </cols>
  <sheetData>
    <row r="1">
      <c r="A1" s="1" t="inlineStr">
        <is>
          <t>Позиция</t>
        </is>
      </c>
      <c r="B1" s="1" t="inlineStr">
        <is>
          <t>Кол-во, шт</t>
        </is>
      </c>
      <c r="C1" s="1" t="inlineStr">
        <is>
          <t>Компонент</t>
        </is>
      </c>
      <c r="D1" s="1" t="inlineStr">
        <is>
          <t>Масса за 1 шт, кг</t>
        </is>
      </c>
      <c r="E1" s="1" t="inlineStr">
        <is>
          <t>Масса всего, кг</t>
        </is>
      </c>
    </row>
    <row r="2">
      <c r="A2" s="11" t="inlineStr">
        <is>
          <t>ПР-1 ТП</t>
        </is>
      </c>
      <c r="B2" s="11" t="n">
        <v>2</v>
      </c>
      <c r="C2" s="11" t="inlineStr">
        <is>
          <t>ПР-18-19 L=1780</t>
        </is>
      </c>
      <c r="D2" s="11" t="n">
        <v>0</v>
      </c>
      <c r="E2" s="11" t="n">
        <v>0</v>
      </c>
    </row>
    <row r="3">
      <c r="A3" s="11" t="inlineStr">
        <is>
          <t>ПР-1.13</t>
        </is>
      </c>
      <c r="B3" s="11" t="n">
        <v>17</v>
      </c>
      <c r="C3" s="11" t="inlineStr">
        <is>
          <t>ПР15-19 L=1380</t>
        </is>
      </c>
      <c r="D3" s="11" t="n">
        <v>0</v>
      </c>
      <c r="E3" s="11" t="n">
        <v>0</v>
      </c>
    </row>
    <row r="4">
      <c r="A4" s="11" t="inlineStr">
        <is>
          <t>ПР-1.14</t>
        </is>
      </c>
      <c r="B4" s="11" t="n">
        <v>17</v>
      </c>
      <c r="C4" s="11" t="inlineStr">
        <is>
          <t>ПР-18-19 L=1780</t>
        </is>
      </c>
      <c r="D4" s="11" t="n">
        <v>0</v>
      </c>
      <c r="E4" s="11" t="n">
        <v>0</v>
      </c>
    </row>
    <row r="5">
      <c r="A5" s="11" t="inlineStr">
        <is>
          <t>ПР-1.15</t>
        </is>
      </c>
      <c r="B5" s="11" t="n">
        <v>19</v>
      </c>
      <c r="C5" s="11" t="inlineStr">
        <is>
          <t>ПР 15-8 L=900</t>
        </is>
      </c>
      <c r="D5" s="11" t="n">
        <v>0</v>
      </c>
      <c r="E5" s="11" t="n">
        <v>0</v>
      </c>
    </row>
    <row r="6">
      <c r="A6" s="10" t="inlineStr">
        <is>
          <t>ПР-1.2</t>
        </is>
      </c>
      <c r="B6" s="10" t="n">
        <v>1</v>
      </c>
      <c r="C6" s="10" t="inlineStr">
        <is>
          <t>Уголок 40х5, L=1200</t>
        </is>
      </c>
      <c r="D6" s="10" t="n">
        <v>7.152</v>
      </c>
      <c r="E6" s="10" t="n">
        <v>7.152</v>
      </c>
    </row>
    <row r="7">
      <c r="A7" s="10" t="inlineStr"/>
      <c r="B7" s="10" t="inlineStr"/>
      <c r="C7" s="10" t="inlineStr">
        <is>
          <t>Пластина 50х5, L=250</t>
        </is>
      </c>
      <c r="D7" s="10" t="n">
        <v>1.885</v>
      </c>
      <c r="E7" s="10" t="n">
        <v>1.885</v>
      </c>
    </row>
    <row r="8">
      <c r="A8" s="10" t="inlineStr">
        <is>
          <t>ПР-1.3</t>
        </is>
      </c>
      <c r="B8" s="10" t="n">
        <v>1</v>
      </c>
      <c r="C8" s="10" t="inlineStr">
        <is>
          <t>Уголок 40х5, L=1100</t>
        </is>
      </c>
      <c r="D8" s="10" t="n">
        <v>6.556</v>
      </c>
      <c r="E8" s="10" t="n">
        <v>6.556</v>
      </c>
    </row>
    <row r="9">
      <c r="A9" s="10" t="inlineStr"/>
      <c r="B9" s="10" t="inlineStr"/>
      <c r="C9" s="10" t="inlineStr">
        <is>
          <t>Пластина 50х5, L=200</t>
        </is>
      </c>
      <c r="D9" s="10" t="n">
        <v>1.508</v>
      </c>
      <c r="E9" s="10" t="n">
        <v>1.508</v>
      </c>
    </row>
    <row r="10">
      <c r="A10" s="10" t="inlineStr">
        <is>
          <t>ПР-1.7</t>
        </is>
      </c>
      <c r="B10" s="10" t="n">
        <v>1</v>
      </c>
      <c r="C10" s="10" t="inlineStr">
        <is>
          <t>Уголок 40х4, L=1300</t>
        </is>
      </c>
      <c r="D10" s="10" t="n">
        <v>6.292</v>
      </c>
      <c r="E10" s="10" t="n">
        <v>6.292</v>
      </c>
    </row>
    <row r="11">
      <c r="A11" s="10" t="inlineStr"/>
      <c r="B11" s="10" t="inlineStr"/>
      <c r="C11" s="10" t="inlineStr">
        <is>
          <t>Пластина 50х5, L=250</t>
        </is>
      </c>
      <c r="D11" s="10" t="n">
        <v>0.9425</v>
      </c>
      <c r="E11" s="10" t="n">
        <v>0.9425</v>
      </c>
    </row>
    <row r="12">
      <c r="A12" s="10" t="inlineStr"/>
      <c r="B12" s="10" t="inlineStr"/>
      <c r="C12" s="10" t="inlineStr">
        <is>
          <t>Анкер-шпилька Hilti HST M 10х100</t>
        </is>
      </c>
      <c r="D12" s="10" t="n">
        <v>0.3</v>
      </c>
      <c r="E12" s="10" t="n">
        <v>0.3</v>
      </c>
    </row>
    <row r="13">
      <c r="A13" s="10" t="inlineStr"/>
      <c r="B13" s="10" t="inlineStr"/>
      <c r="C13" s="10" t="inlineStr">
        <is>
          <t>Уголок 100х7, L=250</t>
        </is>
      </c>
      <c r="D13" s="10" t="n">
        <v>2.6975</v>
      </c>
      <c r="E13" s="10" t="n">
        <v>2.6975</v>
      </c>
    </row>
    <row r="14">
      <c r="A14" s="11" t="inlineStr">
        <is>
          <t>ПР-2 ТП</t>
        </is>
      </c>
      <c r="B14" s="11" t="n">
        <v>1</v>
      </c>
      <c r="C14" s="11" t="inlineStr">
        <is>
          <t>ПР-18-19 L=1780</t>
        </is>
      </c>
      <c r="D14" s="11" t="n">
        <v>0</v>
      </c>
      <c r="E14" s="11" t="n">
        <v>0</v>
      </c>
    </row>
    <row r="15">
      <c r="A15" s="10" t="inlineStr">
        <is>
          <t>ПР-2.1</t>
        </is>
      </c>
      <c r="B15" s="10" t="n">
        <v>100</v>
      </c>
      <c r="C15" s="10" t="inlineStr">
        <is>
          <t>Уголок 40х4, L=1500</t>
        </is>
      </c>
      <c r="D15" s="10" t="n">
        <v>7.26</v>
      </c>
      <c r="E15" s="10" t="n">
        <v>726</v>
      </c>
    </row>
    <row r="16">
      <c r="A16" s="10" t="inlineStr"/>
      <c r="B16" s="10" t="inlineStr"/>
      <c r="C16" s="10" t="inlineStr">
        <is>
          <t>Пластина 40х4, L=180</t>
        </is>
      </c>
      <c r="D16" s="10" t="n">
        <v>0.22608</v>
      </c>
      <c r="E16" s="10" t="n">
        <v>22.608</v>
      </c>
    </row>
    <row r="17">
      <c r="A17" s="10" t="inlineStr">
        <is>
          <t>ПР-2.10</t>
        </is>
      </c>
      <c r="B17" s="10" t="n">
        <v>16</v>
      </c>
      <c r="C17" s="10" t="inlineStr">
        <is>
          <t>Уголок 75х6, L=1100</t>
        </is>
      </c>
      <c r="D17" s="10" t="n">
        <v>7.579</v>
      </c>
      <c r="E17" s="10" t="n">
        <v>121.264</v>
      </c>
    </row>
    <row r="18">
      <c r="A18" s="10" t="inlineStr"/>
      <c r="B18" s="10" t="inlineStr"/>
      <c r="C18" s="10" t="inlineStr">
        <is>
          <t>Уголок 75х6, L=80</t>
        </is>
      </c>
      <c r="D18" s="10" t="n">
        <v>0.5512</v>
      </c>
      <c r="E18" s="10" t="n">
        <v>8.8192</v>
      </c>
    </row>
    <row r="19">
      <c r="A19" s="10" t="inlineStr"/>
      <c r="B19" s="10" t="inlineStr"/>
      <c r="C19" s="10" t="inlineStr">
        <is>
          <t>Анкер-шпилька Hilti HST M 10х100</t>
        </is>
      </c>
      <c r="D19" s="10" t="n">
        <v>0.9</v>
      </c>
      <c r="E19" s="10" t="n">
        <v>14.4</v>
      </c>
    </row>
    <row r="20">
      <c r="A20" s="10" t="inlineStr">
        <is>
          <t>ПР-2.2</t>
        </is>
      </c>
      <c r="B20" s="10" t="n">
        <v>33</v>
      </c>
      <c r="C20" s="10" t="inlineStr">
        <is>
          <t>Уголок 40х4, L=1300</t>
        </is>
      </c>
      <c r="D20" s="10" t="n">
        <v>6.292</v>
      </c>
      <c r="E20" s="10" t="n">
        <v>207.636</v>
      </c>
    </row>
    <row r="21">
      <c r="A21" s="10" t="inlineStr"/>
      <c r="B21" s="10" t="inlineStr"/>
      <c r="C21" s="10" t="inlineStr">
        <is>
          <t>Пластина 40х4, L=180</t>
        </is>
      </c>
      <c r="D21" s="10" t="n">
        <v>0.22608</v>
      </c>
      <c r="E21" s="10" t="n">
        <v>7.4606</v>
      </c>
    </row>
    <row r="22">
      <c r="A22" s="10" t="inlineStr"/>
      <c r="B22" s="10" t="inlineStr"/>
      <c r="C22" s="10" t="inlineStr">
        <is>
          <t>Уголок 80х6, L=200</t>
        </is>
      </c>
      <c r="D22" s="10" t="n">
        <v>1.472</v>
      </c>
      <c r="E22" s="10" t="n">
        <v>48.576</v>
      </c>
    </row>
    <row r="23">
      <c r="A23" s="10" t="inlineStr"/>
      <c r="B23" s="10" t="inlineStr"/>
      <c r="C23" s="10" t="inlineStr">
        <is>
          <t>Анкер-шпилька Hilti HST M 10х100</t>
        </is>
      </c>
      <c r="D23" s="10" t="n">
        <v>1.8</v>
      </c>
      <c r="E23" s="10" t="n">
        <v>59.4</v>
      </c>
    </row>
    <row r="24">
      <c r="A24" s="10" t="inlineStr">
        <is>
          <t>ПР-2.3</t>
        </is>
      </c>
      <c r="B24" s="10" t="n">
        <v>17</v>
      </c>
      <c r="C24" s="10" t="inlineStr">
        <is>
          <t>Уголок 40х4, L=1400</t>
        </is>
      </c>
      <c r="D24" s="10" t="n">
        <v>6.776</v>
      </c>
      <c r="E24" s="10" t="n">
        <v>115.192</v>
      </c>
    </row>
    <row r="25">
      <c r="A25" s="10" t="inlineStr"/>
      <c r="B25" s="10" t="inlineStr"/>
      <c r="C25" s="10" t="inlineStr">
        <is>
          <t>Пластина 40х4, L=180</t>
        </is>
      </c>
      <c r="D25" s="10" t="n">
        <v>0.22608</v>
      </c>
      <c r="E25" s="10" t="n">
        <v>3.8434</v>
      </c>
    </row>
    <row r="26">
      <c r="A26" s="10" t="inlineStr"/>
      <c r="B26" s="10" t="inlineStr"/>
      <c r="C26" s="10" t="inlineStr">
        <is>
          <t>Уголок 80х6, L=200</t>
        </is>
      </c>
      <c r="D26" s="10" t="n">
        <v>1.472</v>
      </c>
      <c r="E26" s="10" t="n">
        <v>25.024</v>
      </c>
    </row>
    <row r="27">
      <c r="A27" s="10" t="inlineStr"/>
      <c r="B27" s="10" t="inlineStr"/>
      <c r="C27" s="10" t="inlineStr">
        <is>
          <t>Анкер-шпилька Hilti HST M 10х100</t>
        </is>
      </c>
      <c r="D27" s="10" t="n">
        <v>1.8</v>
      </c>
      <c r="E27" s="10" t="n">
        <v>30.6</v>
      </c>
    </row>
    <row r="28">
      <c r="A28" s="10" t="inlineStr">
        <is>
          <t>ПР-2.4</t>
        </is>
      </c>
      <c r="B28" s="10" t="n">
        <v>34</v>
      </c>
      <c r="C28" s="10" t="inlineStr">
        <is>
          <t>Уголок 75х6, L=1300</t>
        </is>
      </c>
      <c r="D28" s="10" t="n">
        <v>8.957000000000001</v>
      </c>
      <c r="E28" s="10" t="n">
        <v>304.538</v>
      </c>
    </row>
    <row r="29">
      <c r="A29" s="10" t="inlineStr">
        <is>
          <t>ПР-2.5</t>
        </is>
      </c>
      <c r="B29" s="10" t="n">
        <v>184</v>
      </c>
      <c r="C29" s="10" t="inlineStr">
        <is>
          <t>Уголок 75х6, L=1200</t>
        </is>
      </c>
      <c r="D29" s="10" t="n">
        <v>8.268000000000001</v>
      </c>
      <c r="E29" s="10" t="n">
        <v>1521.312</v>
      </c>
    </row>
    <row r="30">
      <c r="A30" s="10" t="inlineStr">
        <is>
          <t>ПР-2.6</t>
        </is>
      </c>
      <c r="B30" s="10" t="n">
        <v>164</v>
      </c>
      <c r="C30" s="10" t="inlineStr">
        <is>
          <t>Уголок 75х6, L=1300</t>
        </is>
      </c>
      <c r="D30" s="10" t="n">
        <v>8.957000000000001</v>
      </c>
      <c r="E30" s="10" t="n">
        <v>1468.948</v>
      </c>
    </row>
    <row r="31">
      <c r="A31" s="10" t="inlineStr">
        <is>
          <t>ПР-2.7</t>
        </is>
      </c>
      <c r="B31" s="10" t="n">
        <v>36</v>
      </c>
      <c r="C31" s="10" t="inlineStr">
        <is>
          <t>Уголок 75х6, L=1100</t>
        </is>
      </c>
      <c r="D31" s="10" t="n">
        <v>7.579</v>
      </c>
      <c r="E31" s="10" t="n">
        <v>272.844</v>
      </c>
    </row>
    <row r="32">
      <c r="A32" s="10" t="inlineStr"/>
      <c r="B32" s="10" t="inlineStr"/>
      <c r="C32" s="10" t="inlineStr">
        <is>
          <t>Уголок 75х6, L=80</t>
        </is>
      </c>
      <c r="D32" s="10" t="n">
        <v>0.5512</v>
      </c>
      <c r="E32" s="10" t="n">
        <v>19.8432</v>
      </c>
    </row>
    <row r="33">
      <c r="A33" s="10" t="inlineStr"/>
      <c r="B33" s="10" t="inlineStr"/>
      <c r="C33" s="10" t="inlineStr">
        <is>
          <t>Анкер-шпилька Hilti HST M 10х100</t>
        </is>
      </c>
      <c r="D33" s="10" t="n">
        <v>0.9</v>
      </c>
      <c r="E33" s="10" t="n">
        <v>32.4</v>
      </c>
    </row>
    <row r="34">
      <c r="A34" s="10" t="inlineStr">
        <is>
          <t>ПР-2.8</t>
        </is>
      </c>
      <c r="B34" s="10" t="n">
        <v>16</v>
      </c>
      <c r="C34" s="10" t="inlineStr">
        <is>
          <t>Уголок 75х6, L=1200</t>
        </is>
      </c>
      <c r="D34" s="10" t="n">
        <v>8.268000000000001</v>
      </c>
      <c r="E34" s="10" t="n">
        <v>132.288</v>
      </c>
    </row>
    <row r="35">
      <c r="A35" s="10" t="inlineStr"/>
      <c r="B35" s="10" t="inlineStr"/>
      <c r="C35" s="10" t="inlineStr">
        <is>
          <t>Уголок 75х6, L=80</t>
        </is>
      </c>
      <c r="D35" s="10" t="n">
        <v>0.5512</v>
      </c>
      <c r="E35" s="10" t="n">
        <v>8.8192</v>
      </c>
    </row>
    <row r="36">
      <c r="A36" s="10" t="inlineStr"/>
      <c r="B36" s="10" t="inlineStr"/>
      <c r="C36" s="10" t="inlineStr">
        <is>
          <t>Анкер-шпилька Hilti HST M 10х100</t>
        </is>
      </c>
      <c r="D36" s="10" t="n">
        <v>0.15</v>
      </c>
      <c r="E36" s="10" t="n">
        <v>2.4</v>
      </c>
    </row>
    <row r="37">
      <c r="A37" s="10" t="inlineStr">
        <is>
          <t>ПР-2.9</t>
        </is>
      </c>
      <c r="B37" s="10" t="n">
        <v>17</v>
      </c>
      <c r="C37" s="10" t="inlineStr">
        <is>
          <t>Уголок 40х4, L=1550</t>
        </is>
      </c>
      <c r="D37" s="10" t="n">
        <v>7.502</v>
      </c>
      <c r="E37" s="10" t="n">
        <v>127.534</v>
      </c>
    </row>
    <row r="38">
      <c r="A38" s="10" t="inlineStr"/>
      <c r="B38" s="10" t="inlineStr"/>
      <c r="C38" s="10" t="inlineStr">
        <is>
          <t>Пластина 40х4, L=180</t>
        </is>
      </c>
      <c r="D38" s="10" t="n">
        <v>0.22608</v>
      </c>
      <c r="E38" s="10" t="n">
        <v>3.8434</v>
      </c>
    </row>
    <row r="39">
      <c r="A39" s="10" t="inlineStr"/>
      <c r="B39" s="10" t="inlineStr"/>
      <c r="C39" s="10" t="inlineStr">
        <is>
          <t>Уголок 80х6, L=180</t>
        </is>
      </c>
      <c r="D39" s="10" t="n">
        <v>1.3248</v>
      </c>
      <c r="E39" s="10" t="n">
        <v>22.5216</v>
      </c>
    </row>
    <row r="40">
      <c r="A40" s="10" t="inlineStr"/>
      <c r="B40" s="10" t="inlineStr"/>
      <c r="C40" s="10" t="inlineStr">
        <is>
          <t>Анкер-шпилька Hilti HST M 10х100</t>
        </is>
      </c>
      <c r="D40" s="10" t="n">
        <v>1.8</v>
      </c>
      <c r="E40" s="10" t="n">
        <v>30.6</v>
      </c>
    </row>
    <row r="41">
      <c r="A41" s="10" t="inlineStr"/>
      <c r="B41" s="10" t="inlineStr"/>
      <c r="C41" s="10" t="inlineStr">
        <is>
          <t>Анкер-шпилька Hilti HST M 10х100</t>
        </is>
      </c>
      <c r="D41" s="10" t="n">
        <v>1.8</v>
      </c>
      <c r="E41" s="10" t="n">
        <v>30.6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Строка сметы</t>
        </is>
      </c>
      <c r="B1" s="1" t="inlineStr">
        <is>
          <t>Ед.изм</t>
        </is>
      </c>
      <c r="C1" s="1" t="inlineStr">
        <is>
          <t>Смета (W)</t>
        </is>
      </c>
      <c r="D1" s="1" t="inlineStr">
        <is>
          <t>Модель (Comments=К3/К4)</t>
        </is>
      </c>
      <c r="E1" s="1" t="inlineStr">
        <is>
          <t>Комментарий</t>
        </is>
      </c>
    </row>
    <row r="2">
      <c r="A2" s="8" t="inlineStr">
        <is>
          <t>СВ-1.1, внутр. 250мм</t>
        </is>
      </c>
      <c r="B2" s="8" t="inlineStr">
        <is>
          <t>м3</t>
        </is>
      </c>
      <c r="C2" s="8" t="n">
        <v>13.35</v>
      </c>
      <c r="D2" s="8" t="n">
        <v>0</v>
      </c>
      <c r="E2" s="8" t="inlineStr">
        <is>
          <t>Примечание сметы: «в РД ошибочно учтён объём К4». В модели — 0 элементов с тегом К3/К4 этого типа. Согласуется с пометкой: величина, видимо, целиком относится к собственному листу К4 (уже сверен отдельно), задваивать здесь не нужно.</t>
        </is>
      </c>
    </row>
    <row r="3">
      <c r="A3" s="8" t="inlineStr">
        <is>
          <t>СВ-1.2, внутр. 200мм</t>
        </is>
      </c>
      <c r="B3" s="8" t="inlineStr">
        <is>
          <t>м3</t>
        </is>
      </c>
      <c r="C3" s="8" t="n">
        <v>16.99</v>
      </c>
      <c r="D3" s="8" t="n">
        <v>33.54</v>
      </c>
      <c r="E3" s="8" t="inlineStr">
        <is>
          <t>Существенное расхождение (~2x), пометками не объяснено.</t>
        </is>
      </c>
    </row>
    <row r="4">
      <c r="A4" s="8" t="inlineStr">
        <is>
          <t>СВ-1.4, внутр. 100мм</t>
        </is>
      </c>
      <c r="B4" s="8" t="inlineStr">
        <is>
          <t>м3</t>
        </is>
      </c>
      <c r="C4" s="8" t="n">
        <v>12</v>
      </c>
      <c r="D4" s="8" t="n">
        <v>6.76</v>
      </c>
      <c r="E4" s="8" t="inlineStr">
        <is>
          <t>Примечание сметы: «в РД ошибочно учтён объём К4». Тип модели («111_Газобетон 100») переиспользуется также в шахтах основного листа К4 — общий тип на разные строки сметы, нужен разбор по осям, не однозначно.</t>
        </is>
      </c>
    </row>
    <row r="5">
      <c r="A5" s="8" t="inlineStr">
        <is>
          <t>СВ-1.5, трассировка h=400мм</t>
        </is>
      </c>
      <c r="B5" s="8" t="inlineStr">
        <is>
          <t>м3</t>
        </is>
      </c>
      <c r="C5" s="8" t="n">
        <v>10.26</v>
      </c>
      <c r="D5" s="8" t="n">
        <v>5.3</v>
      </c>
      <c r="E5" s="8" t="inlineStr">
        <is>
          <t>Тип модели «111_Газобетон 100 - h 400 мм» подобран по названию высоты. ~2x расхождение.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Строка сметы</t>
        </is>
      </c>
      <c r="B1" s="1" t="inlineStr">
        <is>
          <t>Ед.изм</t>
        </is>
      </c>
      <c r="C1" s="1" t="inlineStr">
        <is>
          <t>Смета (W)</t>
        </is>
      </c>
      <c r="D1" s="1" t="inlineStr">
        <is>
          <t>Модель (Comments=К4/К5)</t>
        </is>
      </c>
      <c r="E1" s="1" t="inlineStr">
        <is>
          <t>Комментарий</t>
        </is>
      </c>
    </row>
    <row r="2">
      <c r="A2" s="8" t="inlineStr">
        <is>
          <t>СВ-1.2, внутр. 200мм</t>
        </is>
      </c>
      <c r="B2" s="8" t="inlineStr">
        <is>
          <t>м3</t>
        </is>
      </c>
      <c r="C2" s="8" t="inlineStr">
        <is>
          <t>3.4-3.8 (неск. строк)</t>
        </is>
      </c>
      <c r="D2" s="8" t="n">
        <v>13.04</v>
      </c>
      <c r="E2" s="8" t="inlineStr">
        <is>
          <t>Существенно выше ожидания.</t>
        </is>
      </c>
    </row>
    <row r="3">
      <c r="A3" s="8" t="inlineStr">
        <is>
          <t>СН-1.3, наруж. 200мм</t>
        </is>
      </c>
      <c r="B3" s="8" t="inlineStr">
        <is>
          <t>м3</t>
        </is>
      </c>
      <c r="C3" s="8" t="n">
        <v>3.8</v>
      </c>
      <c r="D3" s="8" t="n">
        <v>4.3</v>
      </c>
      <c r="E3" s="8" t="inlineStr">
        <is>
          <t>Близко (+13%).</t>
        </is>
      </c>
    </row>
    <row r="4">
      <c r="A4" s="8" t="inlineStr">
        <is>
          <t>СН-1.1, наруж. 300мм (в модели есть, отдельной строки в смете К4-К5 под этим именем нет)</t>
        </is>
      </c>
      <c r="B4" s="8" t="inlineStr">
        <is>
          <t>м3</t>
        </is>
      </c>
      <c r="C4" s="8" t="n"/>
      <c r="D4" s="8" t="n">
        <v>13.44</v>
      </c>
      <c r="E4" s="8" t="inlineStr">
        <is>
          <t>На заметку — крупный объём, не привязан ни к одной существующей строке этого листа.</t>
        </is>
      </c>
    </row>
    <row r="5">
      <c r="A5" s="8" t="inlineStr">
        <is>
          <t>ГВ-1.1, Зашивка 75мм</t>
        </is>
      </c>
      <c r="B5" s="8" t="inlineStr">
        <is>
          <t>м3</t>
        </is>
      </c>
      <c r="C5" s="8" t="n">
        <v>5</v>
      </c>
      <c r="D5" s="8" t="n">
        <v>0.42</v>
      </c>
      <c r="E5" s="8" t="inlineStr">
        <is>
          <t>Найден только 1 экземпляр «111_ГКЛВ 87,5» с тегом К4/К5. Далеко от цели, выборка может быть неполной.</t>
        </is>
      </c>
    </row>
    <row r="7">
      <c r="A7" s="12" t="inlineStr">
        <is>
          <t>Находка: строка 24 (Пластина 50х4, позиции К4) в смете — формула =0.72+87+0.87+0.87+0.87</t>
        </is>
      </c>
    </row>
    <row r="8">
      <c r="A8" t="inlineStr">
        <is>
          <t>«87» похоже на опечатку вместо «0.87» (пропущена точка) — иначе результат завышен ~в 20 раз (90.33 кг вместо ~4.2 кг).</t>
        </is>
      </c>
    </row>
    <row r="9">
      <c r="A9" t="inlineStr">
        <is>
          <t>Остальные 4 слагаемых (0.72, 0.87×3) точно совпадают с массой пластин 50х4 из вложенных семейств перемычек ПР-1.1/1.2/1.3 и т.д. (см. лист «Перемычки»).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2026-07-13T08:42:23Z</dcterms:created>
  <dcterms:modified xmlns:dcterms="http://purl.org/dc/terms/" xmlns:xsi="http://www.w3.org/2001/XMLSchema-instance" xsi:type="dcterms:W3CDTF">2026-07-13T08:43:23Z</dcterms:modified>
</cp:coreProperties>
</file>